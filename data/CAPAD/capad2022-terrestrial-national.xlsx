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https://deptagriculture.sharepoint.com/teams/DCCEEW-DSaD/Shared Documents/Web Pubs/DCCEEW/Environment/Land/"/>
    </mc:Choice>
  </mc:AlternateContent>
  <xr:revisionPtr revIDLastSave="0" documentId="8_{005182F3-15B0-476A-B257-6416C9EB2D1B}" xr6:coauthVersionLast="47" xr6:coauthVersionMax="47" xr10:uidLastSave="{00000000-0000-0000-0000-000000000000}"/>
  <bookViews>
    <workbookView xWindow="780" yWindow="0" windowWidth="21600" windowHeight="15585" xr2:uid="{00000000-000D-0000-FFFF-FFFF00000000}"/>
  </bookViews>
  <sheets>
    <sheet name="Type" sheetId="1" r:id="rId1"/>
    <sheet name="Jurisdiction" sheetId="2" r:id="rId2"/>
    <sheet name="Governance" sheetId="3" r:id="rId3"/>
    <sheet name="IUCN Category" sheetId="4" r:id="rId4"/>
    <sheet name="IBRA Bioregions" sheetId="5" r:id="rId5"/>
    <sheet name="Bioregion by IUCN" sheetId="6" r:id="rId6"/>
    <sheet name="IBRA Subregi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5" l="1"/>
  <c r="E92" i="5"/>
  <c r="F92" i="5" s="1"/>
  <c r="C92" i="6"/>
  <c r="D92" i="6"/>
  <c r="E92" i="6"/>
  <c r="F92" i="6"/>
  <c r="G92" i="6"/>
  <c r="H92" i="6"/>
  <c r="I92" i="6"/>
  <c r="J92" i="6"/>
  <c r="K92" i="6"/>
  <c r="L92" i="6"/>
  <c r="M92" i="6"/>
  <c r="N92" i="6"/>
  <c r="E422" i="7"/>
  <c r="F422" i="7"/>
  <c r="G422" i="7" s="1"/>
  <c r="H422" i="7"/>
  <c r="O92" i="6" l="1"/>
</calcChain>
</file>

<file path=xl/sharedStrings.xml><?xml version="1.0" encoding="utf-8"?>
<sst xmlns="http://schemas.openxmlformats.org/spreadsheetml/2006/main" count="2460" uniqueCount="1226">
  <si>
    <t>Terrestrial Protected Areas by Type in Australia (2022)</t>
  </si>
  <si>
    <t>Type</t>
  </si>
  <si>
    <r>
      <rPr>
        <b/>
        <vertAlign val="superscript"/>
        <sz val="10"/>
        <color theme="1"/>
        <rFont val="Arial"/>
        <family val="2"/>
      </rPr>
      <t>1</t>
    </r>
    <r>
      <rPr>
        <b/>
        <sz val="10"/>
        <color theme="1"/>
        <rFont val="Arial"/>
        <family val="2"/>
      </rPr>
      <t>Number</t>
    </r>
  </si>
  <si>
    <r>
      <rPr>
        <b/>
        <vertAlign val="superscript"/>
        <sz val="10"/>
        <color theme="1"/>
        <rFont val="Arial"/>
        <family val="2"/>
      </rPr>
      <t>2</t>
    </r>
    <r>
      <rPr>
        <b/>
        <sz val="10"/>
        <color theme="1"/>
        <rFont val="Arial"/>
        <family val="2"/>
      </rPr>
      <t>Area (ha)</t>
    </r>
  </si>
  <si>
    <t>Jurisdiction(s)</t>
  </si>
  <si>
    <r>
      <rPr>
        <b/>
        <vertAlign val="superscript"/>
        <sz val="10"/>
        <color theme="1"/>
        <rFont val="Arial"/>
        <family val="2"/>
      </rPr>
      <t>3</t>
    </r>
    <r>
      <rPr>
        <b/>
        <sz val="10"/>
        <color theme="1"/>
        <rFont val="Arial"/>
        <family val="2"/>
      </rPr>
      <t>% of Australia</t>
    </r>
  </si>
  <si>
    <t>5(1)(g) Reserve</t>
  </si>
  <si>
    <t>WA</t>
  </si>
  <si>
    <t>5(1)(h) Reserve</t>
  </si>
  <si>
    <t>Aboriginal Area</t>
  </si>
  <si>
    <t>NSW</t>
  </si>
  <si>
    <t>Antarctic Specially Managed Area</t>
  </si>
  <si>
    <t>EXT</t>
  </si>
  <si>
    <t>Antarctic Specially Protected Area</t>
  </si>
  <si>
    <t>Biodiversity Stewardship Agreement</t>
  </si>
  <si>
    <t>Botanic Gardens</t>
  </si>
  <si>
    <t>Botanic Gardens (Commonwealth)</t>
  </si>
  <si>
    <t>ACT,JBT,EXT</t>
  </si>
  <si>
    <t>CCA Zone 1 National Park</t>
  </si>
  <si>
    <t>CCA Zone 3 State Conservation Area</t>
  </si>
  <si>
    <t>Coastal Reserve</t>
  </si>
  <si>
    <t>NT</t>
  </si>
  <si>
    <t>Conservation Agreement</t>
  </si>
  <si>
    <t>Conservation Area</t>
  </si>
  <si>
    <t>TAS,NT</t>
  </si>
  <si>
    <t>Conservation Covenant</t>
  </si>
  <si>
    <t>VIC,TAS,WA,NT</t>
  </si>
  <si>
    <t>Conservation Park</t>
  </si>
  <si>
    <t>SA,QLD,WA,VIC</t>
  </si>
  <si>
    <t>Conservation Reserve</t>
  </si>
  <si>
    <t>SA,WA,NT,VIC,QLD,TAS,NSW</t>
  </si>
  <si>
    <t>Coordinated Conservation Area</t>
  </si>
  <si>
    <t>QLD</t>
  </si>
  <si>
    <t>Flora Reserve</t>
  </si>
  <si>
    <t>Forest Reserve</t>
  </si>
  <si>
    <t>SA,QLD</t>
  </si>
  <si>
    <t>Game Reserve</t>
  </si>
  <si>
    <t>SA,TAS</t>
  </si>
  <si>
    <t>Heritage Agreement</t>
  </si>
  <si>
    <t>SA</t>
  </si>
  <si>
    <t>Heritage River</t>
  </si>
  <si>
    <t>VIC</t>
  </si>
  <si>
    <t>Historic Site</t>
  </si>
  <si>
    <t>TAS,NSW</t>
  </si>
  <si>
    <t>Historical Reserve</t>
  </si>
  <si>
    <t>Hunting Reserve</t>
  </si>
  <si>
    <t>Indigenous Protected Area</t>
  </si>
  <si>
    <t>NSW,TAS,NT,SA,WA,VIC,QLD</t>
  </si>
  <si>
    <t>Karst Conservation Reserve</t>
  </si>
  <si>
    <t>Management Area</t>
  </si>
  <si>
    <t>NCT Agreement</t>
  </si>
  <si>
    <t>NRS Addition - Gazettal in Progress</t>
  </si>
  <si>
    <t>WA,TAS,NT,NSW,QLD,SA</t>
  </si>
  <si>
    <t>National Park</t>
  </si>
  <si>
    <t>WA,QLD,NSW,TAS,ACT,VIC,NT,SA</t>
  </si>
  <si>
    <t>National Park (Commonwealth)</t>
  </si>
  <si>
    <t>EXT,JBT,NT</t>
  </si>
  <si>
    <t>National Park (Scientific)</t>
  </si>
  <si>
    <t>National Park Aboriginal</t>
  </si>
  <si>
    <t>National Parks Act Schedule 4 park or reserve</t>
  </si>
  <si>
    <t>Natural Catchment Area</t>
  </si>
  <si>
    <t>Natural Features Reserve</t>
  </si>
  <si>
    <t>Nature Conservation Reserve</t>
  </si>
  <si>
    <t>Nature Park</t>
  </si>
  <si>
    <t>Nature Recreation Area</t>
  </si>
  <si>
    <t>TAS</t>
  </si>
  <si>
    <t>Nature Refuge</t>
  </si>
  <si>
    <t>Nature Reserve</t>
  </si>
  <si>
    <t>ACT,WA,NSW,TAS,QLD</t>
  </si>
  <si>
    <t>Other</t>
  </si>
  <si>
    <t>WA,VIC</t>
  </si>
  <si>
    <t>Other Conservation Area</t>
  </si>
  <si>
    <t>NT,TAS</t>
  </si>
  <si>
    <t>Other Conservation Area or Nature Park</t>
  </si>
  <si>
    <t>Permanent Park Preserve</t>
  </si>
  <si>
    <t>Private Nature Reserve</t>
  </si>
  <si>
    <t>SA,NSW,TAS,NT,VIC,QLD,WA</t>
  </si>
  <si>
    <t>Private Sanctuary</t>
  </si>
  <si>
    <t>Proposed National Parks Act park or park addition</t>
  </si>
  <si>
    <t>VIC,NT</t>
  </si>
  <si>
    <t>Recreation Park</t>
  </si>
  <si>
    <t>Reference Area</t>
  </si>
  <si>
    <t>Regional Park</t>
  </si>
  <si>
    <t>Regional Reserve</t>
  </si>
  <si>
    <t>TAS,SA</t>
  </si>
  <si>
    <t>Registered Property Agreement</t>
  </si>
  <si>
    <t>Remote and Natural Area - Schedule 6, National Parks Act</t>
  </si>
  <si>
    <t>Remote and Natural Area - not scheduled under Nat Parks Act</t>
  </si>
  <si>
    <t>Resources Reserve</t>
  </si>
  <si>
    <t>State Conservation Area</t>
  </si>
  <si>
    <t>State Park</t>
  </si>
  <si>
    <t>State Reserve</t>
  </si>
  <si>
    <t>TAS,WA</t>
  </si>
  <si>
    <t>Wilderness Park</t>
  </si>
  <si>
    <t>Wilderness Protection Area</t>
  </si>
  <si>
    <t>Wilderness Zone</t>
  </si>
  <si>
    <t>VIC,ACT</t>
  </si>
  <si>
    <t>Total</t>
  </si>
  <si>
    <t/>
  </si>
  <si>
    <t>Total land area of Australia (ha)</t>
  </si>
  <si>
    <t>Additional types WITHIN or PARTIALLY WITHIN the protected areas above</t>
  </si>
  <si>
    <t>Number</t>
  </si>
  <si>
    <t>Overlapping Area (ha)</t>
  </si>
  <si>
    <t>SA,WA,VIC</t>
  </si>
  <si>
    <t>VIC,QLD,NSW,WA,TAS,SA</t>
  </si>
  <si>
    <t>QLD,SA</t>
  </si>
  <si>
    <t>QLD,WA,NSW</t>
  </si>
  <si>
    <t>WA,VIC,SA,NT</t>
  </si>
  <si>
    <t>NSW,QLD,VIC,WA,SA</t>
  </si>
  <si>
    <t>Additional Total</t>
  </si>
  <si>
    <r>
      <rPr>
        <vertAlign val="superscript"/>
        <sz val="8"/>
        <color rgb="FF808080"/>
        <rFont val="Arial"/>
        <family val="2"/>
      </rPr>
      <t>1</t>
    </r>
    <r>
      <rPr>
        <sz val="8"/>
        <color rgb="FF808080"/>
        <rFont val="Arial"/>
        <family val="2"/>
      </rPr>
      <t>The number of protected areas which have been attributed with this type. Overlaps are excluded from the top table.</t>
    </r>
  </si>
  <si>
    <r>
      <rPr>
        <vertAlign val="superscript"/>
        <sz val="8"/>
        <color rgb="FF808080"/>
        <rFont val="Arial"/>
        <family val="2"/>
      </rPr>
      <t>2</t>
    </r>
    <r>
      <rPr>
        <sz val="8"/>
        <color rgb="FF808080"/>
        <rFont val="Arial"/>
        <family val="2"/>
      </rPr>
      <t>Areas are based on calculated GIS_AREA data (rather than gazetted areas). With the exception of the Antarctic protected areas (ASMAs and ASPAs), GIS_AREA is based an Albers equal area projection for Australia. The area for ASMAs and ASPAs is calculated using a WGS_1984 Australian Antarctic Polar Stereographic projection.</t>
    </r>
  </si>
  <si>
    <r>
      <rPr>
        <vertAlign val="superscript"/>
        <sz val="8"/>
        <color rgb="FF808080"/>
        <rFont val="Arial"/>
        <family val="2"/>
      </rPr>
      <t>3</t>
    </r>
    <r>
      <rPr>
        <sz val="8"/>
        <color rgb="FF808080"/>
        <rFont val="Arial"/>
        <family val="2"/>
      </rPr>
      <t>The total land area of Australia refers to the Australian mainland and all islands. The Antarctic Specially Managed Areas and the Antarctic Specially Protected Areas have been excluded from the % of Australia totals.</t>
    </r>
  </si>
  <si>
    <t>* Only protected areas that meet the standard for inclusion in the NRS are included in this table. See p.4 of Technical Specification document - Terrestrial CAPAD 2022 at http://www.environment.gov.au/capad for details.</t>
  </si>
  <si>
    <t>Terrestrial Protected Areas in Australia by Jurisdiction (2022)</t>
  </si>
  <si>
    <t>Jurisdiction</t>
  </si>
  <si>
    <t>Jurisdiction Area (ha)</t>
  </si>
  <si>
    <r>
      <rPr>
        <b/>
        <vertAlign val="superscript"/>
        <sz val="10"/>
        <color theme="1"/>
        <rFont val="Arial"/>
        <family val="2"/>
      </rPr>
      <t>2</t>
    </r>
    <r>
      <rPr>
        <b/>
        <sz val="10"/>
        <color theme="1"/>
        <rFont val="Arial"/>
        <family val="2"/>
      </rPr>
      <t>Protected Area (ha)</t>
    </r>
  </si>
  <si>
    <r>
      <rPr>
        <b/>
        <vertAlign val="superscript"/>
        <sz val="10"/>
        <color theme="1"/>
        <rFont val="Arial"/>
        <family val="2"/>
      </rPr>
      <t>3</t>
    </r>
    <r>
      <rPr>
        <b/>
        <sz val="10"/>
        <color theme="1"/>
        <rFont val="Arial"/>
        <family val="2"/>
      </rPr>
      <t>Average size (ha)</t>
    </r>
  </si>
  <si>
    <t xml:space="preserve">% of Jurisdiction Protected </t>
  </si>
  <si>
    <t>Contribution to NRS (%)</t>
  </si>
  <si>
    <t>ACT</t>
  </si>
  <si>
    <t>-</t>
  </si>
  <si>
    <t>JBT</t>
  </si>
  <si>
    <r>
      <rPr>
        <vertAlign val="superscript"/>
        <sz val="8"/>
        <color rgb="FF808080"/>
        <rFont val="Arial"/>
        <family val="2"/>
      </rPr>
      <t>1</t>
    </r>
    <r>
      <rPr>
        <sz val="8"/>
        <color rgb="FF808080"/>
        <rFont val="Arial"/>
        <family val="2"/>
      </rPr>
      <t>The number of protected areas which have been attributed with this type. Overlaps are excluded from this table.</t>
    </r>
  </si>
  <si>
    <r>
      <rPr>
        <vertAlign val="superscript"/>
        <sz val="8"/>
        <color rgb="FF808080"/>
        <rFont val="Arial"/>
        <family val="2"/>
      </rPr>
      <t>3</t>
    </r>
    <r>
      <rPr>
        <sz val="8"/>
        <color rgb="FF808080"/>
        <rFont val="Arial"/>
        <family val="2"/>
      </rPr>
      <t>The average area in hectares of protected areas within a jurisdiction.</t>
    </r>
  </si>
  <si>
    <t>Terrestrial Protected Areas by Governance in Australia (2022)</t>
  </si>
  <si>
    <t>Governance</t>
  </si>
  <si>
    <r>
      <rPr>
        <b/>
        <vertAlign val="superscript"/>
        <sz val="10"/>
        <color theme="1"/>
        <rFont val="Arial"/>
        <family val="2"/>
      </rPr>
      <t>4</t>
    </r>
    <r>
      <rPr>
        <b/>
        <sz val="10"/>
        <color theme="1"/>
        <rFont val="Arial"/>
        <family val="2"/>
      </rPr>
      <t>% of Australia</t>
    </r>
  </si>
  <si>
    <t>Community</t>
  </si>
  <si>
    <t>Government</t>
  </si>
  <si>
    <t>Joint</t>
  </si>
  <si>
    <t>Private</t>
  </si>
  <si>
    <r>
      <rPr>
        <vertAlign val="superscript"/>
        <sz val="8"/>
        <color rgb="FF808080"/>
        <rFont val="Arial"/>
        <family val="2"/>
      </rPr>
      <t>1</t>
    </r>
    <r>
      <rPr>
        <sz val="8"/>
        <color rgb="FF808080"/>
        <rFont val="Arial"/>
        <family val="2"/>
      </rPr>
      <t>The number of protected areas managed under the listed Governance arrangement. The total number in this table is slightly different to the totals in other tabs due to protected areas that have separate parts with different Governance arrangements. Overlaps are excluded from this table.</t>
    </r>
  </si>
  <si>
    <r>
      <rPr>
        <vertAlign val="superscript"/>
        <sz val="8"/>
        <color rgb="FF808080"/>
        <rFont val="Arial"/>
        <family val="2"/>
      </rPr>
      <t>3</t>
    </r>
    <r>
      <rPr>
        <sz val="8"/>
        <color rgb="FF808080"/>
        <rFont val="Arial"/>
        <family val="2"/>
      </rPr>
      <t>The average area in hectares of protected areas with the listed Governance arrangement.</t>
    </r>
  </si>
  <si>
    <r>
      <rPr>
        <vertAlign val="superscript"/>
        <sz val="8"/>
        <color rgb="FF808080"/>
        <rFont val="Arial"/>
        <family val="2"/>
      </rPr>
      <t>4</t>
    </r>
    <r>
      <rPr>
        <sz val="8"/>
        <color rgb="FF808080"/>
        <rFont val="Arial"/>
        <family val="2"/>
      </rPr>
      <t>The total land area of Australia refers to the Australian mainland and all islands. The Antarctic Specially Managed Areas and the Antarctic Specially Protected Areas have been excluded from the % of Australia totals.</t>
    </r>
  </si>
  <si>
    <t>Terrestrial Protected Areas by IUCN Category in Australia (2022)</t>
  </si>
  <si>
    <t>IUCN Category</t>
  </si>
  <si>
    <t>Ia</t>
  </si>
  <si>
    <t>Ib</t>
  </si>
  <si>
    <t>II</t>
  </si>
  <si>
    <t>III</t>
  </si>
  <si>
    <t>IV</t>
  </si>
  <si>
    <t>V</t>
  </si>
  <si>
    <t>VI</t>
  </si>
  <si>
    <t>Not Applicable</t>
  </si>
  <si>
    <t>Not Assigned</t>
  </si>
  <si>
    <t>Area of Australia (ha)</t>
  </si>
  <si>
    <r>
      <rPr>
        <vertAlign val="superscript"/>
        <sz val="8"/>
        <color rgb="FF808080"/>
        <rFont val="Arial"/>
        <family val="2"/>
      </rPr>
      <t>1</t>
    </r>
    <r>
      <rPr>
        <sz val="8"/>
        <color rgb="FF808080"/>
        <rFont val="Arial"/>
        <family val="2"/>
      </rPr>
      <t>The number of protected areas which contain an area with the listed IUCN classification. This area could be the entire protected area or a part of the protected area. The total number in this table is slightly different to the totals in other tabs due to summarising of records based on NAME, TYPE and IUCN category. Overlaps are excluded from this table.</t>
    </r>
  </si>
  <si>
    <r>
      <rPr>
        <vertAlign val="superscript"/>
        <sz val="8"/>
        <color rgb="FF808080"/>
        <rFont val="Arial"/>
        <family val="2"/>
      </rPr>
      <t>3</t>
    </r>
    <r>
      <rPr>
        <sz val="8"/>
        <color rgb="FF808080"/>
        <rFont val="Arial"/>
        <family val="2"/>
      </rPr>
      <t>The average area in hectares of protected areas with the listed IUCN category.</t>
    </r>
  </si>
  <si>
    <t>Terrestrial Protected Areas by IBRA Bioregions in Australia (2022)</t>
  </si>
  <si>
    <t>IBRA Region Name</t>
  </si>
  <si>
    <t>IBRA Region Code</t>
  </si>
  <si>
    <t>IBRA Area (ha)</t>
  </si>
  <si>
    <r>
      <rPr>
        <b/>
        <vertAlign val="superscript"/>
        <sz val="10"/>
        <color theme="1"/>
        <rFont val="Arial"/>
        <family val="2"/>
      </rPr>
      <t>1</t>
    </r>
    <r>
      <rPr>
        <b/>
        <sz val="10"/>
        <color theme="1"/>
        <rFont val="Arial"/>
        <family val="2"/>
      </rPr>
      <t>Area Protected (ha)</t>
    </r>
  </si>
  <si>
    <t>% IBRA Region Protected</t>
  </si>
  <si>
    <r>
      <rPr>
        <b/>
        <vertAlign val="superscript"/>
        <sz val="10"/>
        <color theme="1"/>
        <rFont val="Arial"/>
        <family val="2"/>
      </rPr>
      <t>2</t>
    </r>
    <r>
      <rPr>
        <b/>
        <sz val="10"/>
        <color theme="1"/>
        <rFont val="Arial"/>
        <family val="2"/>
      </rPr>
      <t>Contribution to NRS (%)</t>
    </r>
  </si>
  <si>
    <t>Arnhem Coast</t>
  </si>
  <si>
    <t>ARC</t>
  </si>
  <si>
    <t>Arnhem Plateau</t>
  </si>
  <si>
    <t>ARP</t>
  </si>
  <si>
    <t>Australian Alps</t>
  </si>
  <si>
    <t>AUA</t>
  </si>
  <si>
    <t>VIC, NSW, ACT</t>
  </si>
  <si>
    <t>Avon Wheatbelt</t>
  </si>
  <si>
    <t>AVW</t>
  </si>
  <si>
    <t>Ben Lomond</t>
  </si>
  <si>
    <t>BEL</t>
  </si>
  <si>
    <t>Brigalow Belt North</t>
  </si>
  <si>
    <t>BBN</t>
  </si>
  <si>
    <t>Brigalow Belt South</t>
  </si>
  <si>
    <t>BBS</t>
  </si>
  <si>
    <t>NSW, QLD</t>
  </si>
  <si>
    <t>Broken Hill Complex</t>
  </si>
  <si>
    <t>BHC</t>
  </si>
  <si>
    <t>NSW, SA</t>
  </si>
  <si>
    <t>Burt Plain</t>
  </si>
  <si>
    <t>BRT</t>
  </si>
  <si>
    <t>Cape York Peninsula</t>
  </si>
  <si>
    <t>CYP</t>
  </si>
  <si>
    <t>Carnarvon</t>
  </si>
  <si>
    <t>CAR</t>
  </si>
  <si>
    <t>Central Arnhem</t>
  </si>
  <si>
    <t>CEA</t>
  </si>
  <si>
    <t>Central Kimberley</t>
  </si>
  <si>
    <t>CEK</t>
  </si>
  <si>
    <t>Central Mackay Coast</t>
  </si>
  <si>
    <t>CMC</t>
  </si>
  <si>
    <t>Central Ranges</t>
  </si>
  <si>
    <t>CER</t>
  </si>
  <si>
    <t>SA, WA, NT</t>
  </si>
  <si>
    <t>Channel Country</t>
  </si>
  <si>
    <t>CHC</t>
  </si>
  <si>
    <t>NSW, QLD, SA</t>
  </si>
  <si>
    <t>Cobar Peneplain</t>
  </si>
  <si>
    <t>COP</t>
  </si>
  <si>
    <t>Coolgardie</t>
  </si>
  <si>
    <t>COO</t>
  </si>
  <si>
    <t>Coral Sea</t>
  </si>
  <si>
    <t>COS</t>
  </si>
  <si>
    <t>Daly Basin</t>
  </si>
  <si>
    <t>DAB</t>
  </si>
  <si>
    <t>Dampierland</t>
  </si>
  <si>
    <t>DAL</t>
  </si>
  <si>
    <t>Darling Riverine Plains</t>
  </si>
  <si>
    <t>DRP</t>
  </si>
  <si>
    <t>Darwin Coastal</t>
  </si>
  <si>
    <t>DAC</t>
  </si>
  <si>
    <t>Davenport Murchison Ranges</t>
  </si>
  <si>
    <t>DMR</t>
  </si>
  <si>
    <t>Desert Uplands</t>
  </si>
  <si>
    <t>DEU</t>
  </si>
  <si>
    <t>Einasleigh Uplands</t>
  </si>
  <si>
    <t>EIU</t>
  </si>
  <si>
    <t>Esperance Plains</t>
  </si>
  <si>
    <t>ESP</t>
  </si>
  <si>
    <t>Eyre Yorke Block</t>
  </si>
  <si>
    <t>EYB</t>
  </si>
  <si>
    <t>Finke</t>
  </si>
  <si>
    <t>FIN</t>
  </si>
  <si>
    <t>NT, SA</t>
  </si>
  <si>
    <t>Flinders Lofty Block</t>
  </si>
  <si>
    <t>FLB</t>
  </si>
  <si>
    <t>Furneaux</t>
  </si>
  <si>
    <t>FUR</t>
  </si>
  <si>
    <t>TAS, VIC</t>
  </si>
  <si>
    <t>Gascoyne</t>
  </si>
  <si>
    <t>GAS</t>
  </si>
  <si>
    <t>Gawler</t>
  </si>
  <si>
    <t>GAW</t>
  </si>
  <si>
    <t>Geraldton Sandplains</t>
  </si>
  <si>
    <t>GES</t>
  </si>
  <si>
    <t>Gibson Desert</t>
  </si>
  <si>
    <t>GID</t>
  </si>
  <si>
    <t>Great Sandy Desert</t>
  </si>
  <si>
    <t>GSD</t>
  </si>
  <si>
    <t>NT, WA</t>
  </si>
  <si>
    <t>Great Victoria Desert</t>
  </si>
  <si>
    <t>GVD</t>
  </si>
  <si>
    <t>SA, WA</t>
  </si>
  <si>
    <t>Gulf Coastal</t>
  </si>
  <si>
    <t>GUC</t>
  </si>
  <si>
    <t>Gulf Fall and Uplands</t>
  </si>
  <si>
    <t>GFU</t>
  </si>
  <si>
    <t>NT, QLD</t>
  </si>
  <si>
    <t>Gulf Plains</t>
  </si>
  <si>
    <t>GUP</t>
  </si>
  <si>
    <t>Hampton</t>
  </si>
  <si>
    <t>HAM</t>
  </si>
  <si>
    <t>Indian Tropical Islands</t>
  </si>
  <si>
    <t>ITI</t>
  </si>
  <si>
    <t>WA, EXT</t>
  </si>
  <si>
    <t>Jarrah Forest</t>
  </si>
  <si>
    <t>JAF</t>
  </si>
  <si>
    <t>Kanmantoo</t>
  </si>
  <si>
    <t>KAN</t>
  </si>
  <si>
    <t>King</t>
  </si>
  <si>
    <t>KIN</t>
  </si>
  <si>
    <t>Little Sandy Desert</t>
  </si>
  <si>
    <t>LSD</t>
  </si>
  <si>
    <t>MacDonnell Ranges</t>
  </si>
  <si>
    <t>MAC</t>
  </si>
  <si>
    <t>Mallee</t>
  </si>
  <si>
    <t>MAL</t>
  </si>
  <si>
    <t>Mitchell Grass Downs</t>
  </si>
  <si>
    <t>MGD</t>
  </si>
  <si>
    <t>QLD, NT</t>
  </si>
  <si>
    <t>Mount Isa Inlier</t>
  </si>
  <si>
    <t>MII</t>
  </si>
  <si>
    <t>Mulga Lands</t>
  </si>
  <si>
    <t>MUL</t>
  </si>
  <si>
    <t>Murchison</t>
  </si>
  <si>
    <t>MUR</t>
  </si>
  <si>
    <t>Murray Darling Depression</t>
  </si>
  <si>
    <t>MDD</t>
  </si>
  <si>
    <t>VIC, SA, NSW</t>
  </si>
  <si>
    <t>NSW North Coast</t>
  </si>
  <si>
    <t>NNC</t>
  </si>
  <si>
    <t>NSW South Western Slopes</t>
  </si>
  <si>
    <t>NSS</t>
  </si>
  <si>
    <t>VIC, NSW</t>
  </si>
  <si>
    <t>Nandewar</t>
  </si>
  <si>
    <t>NAN</t>
  </si>
  <si>
    <t>Naracoorte Coastal Plain</t>
  </si>
  <si>
    <t>NCP</t>
  </si>
  <si>
    <t>VIC, SA</t>
  </si>
  <si>
    <t>New England Tablelands</t>
  </si>
  <si>
    <t>NET</t>
  </si>
  <si>
    <t>Northern Kimberley</t>
  </si>
  <si>
    <t>NOK</t>
  </si>
  <si>
    <t>Nullarbor</t>
  </si>
  <si>
    <t>NUL</t>
  </si>
  <si>
    <t>Ord Victoria Plain</t>
  </si>
  <si>
    <t>OVP</t>
  </si>
  <si>
    <t>Pacific Subtropical Islands</t>
  </si>
  <si>
    <t>PSI</t>
  </si>
  <si>
    <t>NSW, EXT</t>
  </si>
  <si>
    <t>Pilbara</t>
  </si>
  <si>
    <t>PIL</t>
  </si>
  <si>
    <t>Pine Creek</t>
  </si>
  <si>
    <t>PCK</t>
  </si>
  <si>
    <t>Riverina</t>
  </si>
  <si>
    <t>RIV</t>
  </si>
  <si>
    <t>VIC, NSW, SA</t>
  </si>
  <si>
    <t>Simpson Strzelecki Dunefields</t>
  </si>
  <si>
    <t>SSD</t>
  </si>
  <si>
    <t>NSW, SA, QLD, NT</t>
  </si>
  <si>
    <t>South East Coastal Plain</t>
  </si>
  <si>
    <t>SCP</t>
  </si>
  <si>
    <t>South East Corner</t>
  </si>
  <si>
    <t>SEC</t>
  </si>
  <si>
    <t>South Eastern Highlands</t>
  </si>
  <si>
    <t>SEH</t>
  </si>
  <si>
    <t>South Eastern Queensland</t>
  </si>
  <si>
    <t>SEQ</t>
  </si>
  <si>
    <t>QLD, NSW</t>
  </si>
  <si>
    <t>Southern Volcanic Plain</t>
  </si>
  <si>
    <t>SVP</t>
  </si>
  <si>
    <t>Stony Plains</t>
  </si>
  <si>
    <t>STP</t>
  </si>
  <si>
    <t>Sturt Plateau</t>
  </si>
  <si>
    <t>STU</t>
  </si>
  <si>
    <t>Subantarctic Islands</t>
  </si>
  <si>
    <t>SAI</t>
  </si>
  <si>
    <t>Swan Coastal Plain</t>
  </si>
  <si>
    <t>SWA</t>
  </si>
  <si>
    <t>Sydney Basin</t>
  </si>
  <si>
    <t>SYB</t>
  </si>
  <si>
    <t>NSW, JBT</t>
  </si>
  <si>
    <t>Tanami</t>
  </si>
  <si>
    <t>TAN</t>
  </si>
  <si>
    <t>Tasmanian Central Highlands</t>
  </si>
  <si>
    <t>TCH</t>
  </si>
  <si>
    <t>Tasmanian Northern Midlands</t>
  </si>
  <si>
    <t>TNM</t>
  </si>
  <si>
    <t>Tasmanian Northern Slopes</t>
  </si>
  <si>
    <t>TNS</t>
  </si>
  <si>
    <t>Tasmanian South East</t>
  </si>
  <si>
    <t>TSE</t>
  </si>
  <si>
    <t>Tasmanian Southern Ranges</t>
  </si>
  <si>
    <t>TSR</t>
  </si>
  <si>
    <t>Tasmanian West</t>
  </si>
  <si>
    <t>TWE</t>
  </si>
  <si>
    <t>Tiwi Cobourg</t>
  </si>
  <si>
    <t>TIW</t>
  </si>
  <si>
    <t>Victoria Bonaparte</t>
  </si>
  <si>
    <t>VIB</t>
  </si>
  <si>
    <t>WA, NT</t>
  </si>
  <si>
    <t>Victorian Midlands</t>
  </si>
  <si>
    <t>VIM</t>
  </si>
  <si>
    <t>Warren</t>
  </si>
  <si>
    <t>WAR</t>
  </si>
  <si>
    <t>Wet Tropics</t>
  </si>
  <si>
    <t>WET</t>
  </si>
  <si>
    <t>Yalgoo</t>
  </si>
  <si>
    <t>YAL</t>
  </si>
  <si>
    <r>
      <rPr>
        <vertAlign val="superscript"/>
        <sz val="8"/>
        <color rgb="FF808080"/>
        <rFont val="Arial"/>
        <family val="2"/>
      </rPr>
      <t>1</t>
    </r>
    <r>
      <rPr>
        <sz val="8"/>
        <color rgb="FF808080"/>
        <rFont val="Arial"/>
        <family val="2"/>
      </rPr>
      <t xml:space="preserve"> Area is based on calculated GIS_AREA data (rather than gazetted areas). GIS_AREA is the area in hectares based on current spatial data and an Albers equal area projection for Australia. Only the protected area within IBRA subregions are included in the table above. Therefore the total area protected reported here is less than in the 'Type', 'Jurisdiction', 'Governance' and 'IUCN Category' tabs. Overlaps are excluded from this table.</t>
    </r>
  </si>
  <si>
    <t>*This Area is based on the GIS Area data</t>
  </si>
  <si>
    <t>Terrestrial Protected Areas by Bioregion by IUCN in Australia (2022)</t>
  </si>
  <si>
    <t>Not Reported</t>
  </si>
  <si>
    <t>Total Area Protected (ha)</t>
  </si>
  <si>
    <t>IBRA Region Area (ha)</t>
  </si>
  <si>
    <t>* Area is based on calculated GIS_AREA data (rather than gazetted areas). GIS_AREA is the area in hectares based on current spatial data and an Albers equal area projection for Australia. Only the protected area within IBRA subregions are included in the table above. Therefore the total area protected reported here is less than in the 'Type', 'Jurisdiction', 'Governance' and 'IUCN Category' tabs. Overlaps are excluded from this table.</t>
  </si>
  <si>
    <t>* Some Protected Areas or parts of Protected Areas are not within IBRA regions/subregions (eg. ASMAs and ASPAs) so are not reported in this table.</t>
  </si>
  <si>
    <t>Terrestrial Protected Areas in Australia (2022)</t>
  </si>
  <si>
    <t>IBRA Subregion Name</t>
  </si>
  <si>
    <t>IBRA Subregion Code</t>
  </si>
  <si>
    <t>Subregion Area (ha)</t>
  </si>
  <si>
    <t>% IBRA Subregion Protected</t>
  </si>
  <si>
    <t>Alice Tableland</t>
  </si>
  <si>
    <t>DEU02</t>
  </si>
  <si>
    <t>Alligator</t>
  </si>
  <si>
    <t>ARP01</t>
  </si>
  <si>
    <t>Amedeus</t>
  </si>
  <si>
    <t>GSD04</t>
  </si>
  <si>
    <t>Anakie Inlier</t>
  </si>
  <si>
    <t>BBN09</t>
  </si>
  <si>
    <t>Andado</t>
  </si>
  <si>
    <t>SSD01</t>
  </si>
  <si>
    <t>Angalarri</t>
  </si>
  <si>
    <t>VIB03</t>
  </si>
  <si>
    <t>Arcadia</t>
  </si>
  <si>
    <t>BBS06</t>
  </si>
  <si>
    <t>Arcoona Plateau</t>
  </si>
  <si>
    <t>GAW04</t>
  </si>
  <si>
    <t>Armidale Plateau</t>
  </si>
  <si>
    <t>NET04</t>
  </si>
  <si>
    <t>Armraynald Plains</t>
  </si>
  <si>
    <t>GUP02</t>
  </si>
  <si>
    <t>Ashburton</t>
  </si>
  <si>
    <t>GAS01</t>
  </si>
  <si>
    <t>Ashburton Range</t>
  </si>
  <si>
    <t>DMR01</t>
  </si>
  <si>
    <t>Atartinga</t>
  </si>
  <si>
    <t>BRT02</t>
  </si>
  <si>
    <t>Atherton</t>
  </si>
  <si>
    <t>WET04</t>
  </si>
  <si>
    <t>Augustus</t>
  </si>
  <si>
    <t>GAS03</t>
  </si>
  <si>
    <t>Baltana</t>
  </si>
  <si>
    <t>STP07</t>
  </si>
  <si>
    <t>Banana-Auburn Ranges</t>
  </si>
  <si>
    <t>BBS08</t>
  </si>
  <si>
    <t>Barakula</t>
  </si>
  <si>
    <t>BBS13</t>
  </si>
  <si>
    <t>Barkly</t>
  </si>
  <si>
    <t>DMR03</t>
  </si>
  <si>
    <t>Barkly Tableland</t>
  </si>
  <si>
    <t>MGD02</t>
  </si>
  <si>
    <t>Barnato Downs</t>
  </si>
  <si>
    <t>COP02</t>
  </si>
  <si>
    <t>Barrier Range</t>
  </si>
  <si>
    <t>BHC01</t>
  </si>
  <si>
    <t>Barrier Range Outwash</t>
  </si>
  <si>
    <t>BHC04</t>
  </si>
  <si>
    <t>Barrington</t>
  </si>
  <si>
    <t>NNC13</t>
  </si>
  <si>
    <t>Basalt Downs</t>
  </si>
  <si>
    <t>BBN10</t>
  </si>
  <si>
    <t>Bateman</t>
  </si>
  <si>
    <t>SEC03</t>
  </si>
  <si>
    <t>Bathurst</t>
  </si>
  <si>
    <t>SEH11</t>
  </si>
  <si>
    <t>Battle Camp Sandstones</t>
  </si>
  <si>
    <t>CYP05</t>
  </si>
  <si>
    <t>Beardy River Hills</t>
  </si>
  <si>
    <t>NET02</t>
  </si>
  <si>
    <t>Bellenden Ker-Lamb</t>
  </si>
  <si>
    <t>WET07</t>
  </si>
  <si>
    <t>Belyando Downs</t>
  </si>
  <si>
    <t>BBN07</t>
  </si>
  <si>
    <t>BEL01</t>
  </si>
  <si>
    <t>Berkeley</t>
  </si>
  <si>
    <t>NOK02</t>
  </si>
  <si>
    <t>Beucazon Hills</t>
  </si>
  <si>
    <t>BBN04</t>
  </si>
  <si>
    <t>Bimbowrie</t>
  </si>
  <si>
    <t>BHC05</t>
  </si>
  <si>
    <t>Binghi Plateau</t>
  </si>
  <si>
    <t>NET14</t>
  </si>
  <si>
    <t>Birdum</t>
  </si>
  <si>
    <t>STU03</t>
  </si>
  <si>
    <t>Bogan-Macquarie</t>
  </si>
  <si>
    <t>DRP04</t>
  </si>
  <si>
    <t>Bogie River Hills</t>
  </si>
  <si>
    <t>BBN02</t>
  </si>
  <si>
    <t>Bondo</t>
  </si>
  <si>
    <t>SEH14</t>
  </si>
  <si>
    <t>NSW, VIC, ACT</t>
  </si>
  <si>
    <t>Boomer Range</t>
  </si>
  <si>
    <t>BBS03</t>
  </si>
  <si>
    <t>Boorindal Plains</t>
  </si>
  <si>
    <t>COP01</t>
  </si>
  <si>
    <t>Braemer</t>
  </si>
  <si>
    <t>MDD07</t>
  </si>
  <si>
    <t>Breakaways</t>
  </si>
  <si>
    <t>STP01</t>
  </si>
  <si>
    <t>Bridgewater</t>
  </si>
  <si>
    <t>NCP01</t>
  </si>
  <si>
    <t>Brisbane-Barambah Volcanics</t>
  </si>
  <si>
    <t>SEQ05</t>
  </si>
  <si>
    <t>Broken River</t>
  </si>
  <si>
    <t>EIU04</t>
  </si>
  <si>
    <t>Broughton</t>
  </si>
  <si>
    <t>FLB02</t>
  </si>
  <si>
    <t>Buckland Basalts</t>
  </si>
  <si>
    <t>BBS09</t>
  </si>
  <si>
    <t>Bulloo</t>
  </si>
  <si>
    <t>CHC11</t>
  </si>
  <si>
    <t>Bulloo Dunefields</t>
  </si>
  <si>
    <t>CHC12</t>
  </si>
  <si>
    <t>Bundarra Downs</t>
  </si>
  <si>
    <t>NET01</t>
  </si>
  <si>
    <t>Bungonia</t>
  </si>
  <si>
    <t>SEH07</t>
  </si>
  <si>
    <t>Burnett-Curtis Coastal Lowlands</t>
  </si>
  <si>
    <t>SEQ08</t>
  </si>
  <si>
    <t>Burnett-Curtis Hills and Ranges</t>
  </si>
  <si>
    <t>SEQ01</t>
  </si>
  <si>
    <t>Burragorang</t>
  </si>
  <si>
    <t>SYB09</t>
  </si>
  <si>
    <t>Burringbar-Conondale Ranges</t>
  </si>
  <si>
    <t>SEQ03</t>
  </si>
  <si>
    <t>Byfield</t>
  </si>
  <si>
    <t>CMC04</t>
  </si>
  <si>
    <t>Callide Creek Downs</t>
  </si>
  <si>
    <t>BBS05</t>
  </si>
  <si>
    <t>Camfield</t>
  </si>
  <si>
    <t>OVP04</t>
  </si>
  <si>
    <t>Canbelego Downs</t>
  </si>
  <si>
    <t>COP03</t>
  </si>
  <si>
    <t>Cape Range</t>
  </si>
  <si>
    <t>CAR01</t>
  </si>
  <si>
    <t>Cape River Hills</t>
  </si>
  <si>
    <t>BBN03</t>
  </si>
  <si>
    <t>Cape York-Torres Strait</t>
  </si>
  <si>
    <t>CYP03</t>
  </si>
  <si>
    <t>Cape-Campaspe Plains</t>
  </si>
  <si>
    <t>DEU03</t>
  </si>
  <si>
    <t>Capertee Uplands</t>
  </si>
  <si>
    <t>SEH17</t>
  </si>
  <si>
    <t>Capertee Valley</t>
  </si>
  <si>
    <t>NSS03</t>
  </si>
  <si>
    <t>Carlisle</t>
  </si>
  <si>
    <t>NUL01</t>
  </si>
  <si>
    <t>Carnarvon Ranges</t>
  </si>
  <si>
    <t>BBS10</t>
  </si>
  <si>
    <t>Carnegie</t>
  </si>
  <si>
    <t>GAS02</t>
  </si>
  <si>
    <t>Carrai Plateau</t>
  </si>
  <si>
    <t>NNC08</t>
  </si>
  <si>
    <t>Castlereagh-Barwon</t>
  </si>
  <si>
    <t>DRP03</t>
  </si>
  <si>
    <t>Cataract</t>
  </si>
  <si>
    <t>NNC02</t>
  </si>
  <si>
    <t>Central</t>
  </si>
  <si>
    <t>GVD02</t>
  </si>
  <si>
    <t>Central Depression</t>
  </si>
  <si>
    <t>CHC13</t>
  </si>
  <si>
    <t>Central Downs</t>
  </si>
  <si>
    <t>MGD07</t>
  </si>
  <si>
    <t>Central Flinders</t>
  </si>
  <si>
    <t>FLB06</t>
  </si>
  <si>
    <t>Central Highlands</t>
  </si>
  <si>
    <t>TCH01</t>
  </si>
  <si>
    <t>Central Victorian Uplands</t>
  </si>
  <si>
    <t>VIM02</t>
  </si>
  <si>
    <t>Chaelundi</t>
  </si>
  <si>
    <t>NNC04</t>
  </si>
  <si>
    <t>Chichester</t>
  </si>
  <si>
    <t>PIL01</t>
  </si>
  <si>
    <t>Christmas Island</t>
  </si>
  <si>
    <t>ITI01</t>
  </si>
  <si>
    <t>Claraville Plains</t>
  </si>
  <si>
    <t>GUP05</t>
  </si>
  <si>
    <t>Clarence Lowlands</t>
  </si>
  <si>
    <t>SEQ13</t>
  </si>
  <si>
    <t>Clarence Sandstones</t>
  </si>
  <si>
    <t>SEQ12</t>
  </si>
  <si>
    <t>Clarke-Connors Ranges</t>
  </si>
  <si>
    <t>CMC03</t>
  </si>
  <si>
    <t>Claude River Downs</t>
  </si>
  <si>
    <t>BBS01</t>
  </si>
  <si>
    <t>Coastal Plains</t>
  </si>
  <si>
    <t>CYP09</t>
  </si>
  <si>
    <t>Cobourg</t>
  </si>
  <si>
    <t>TIW02</t>
  </si>
  <si>
    <t>Cocos Islands</t>
  </si>
  <si>
    <t>ITI02</t>
  </si>
  <si>
    <t>Coen-Yambo Inlier</t>
  </si>
  <si>
    <t>CYP01</t>
  </si>
  <si>
    <t>Coffs Coast and Escarpment</t>
  </si>
  <si>
    <t>NNC06</t>
  </si>
  <si>
    <t>Comboyne Plateau</t>
  </si>
  <si>
    <t>NNC11</t>
  </si>
  <si>
    <t>Commonwealth Hill</t>
  </si>
  <si>
    <t>GAW08</t>
  </si>
  <si>
    <t>Coongie</t>
  </si>
  <si>
    <t>CHC06</t>
  </si>
  <si>
    <t>Cooper-Diamantina Plains</t>
  </si>
  <si>
    <t>CHC05</t>
  </si>
  <si>
    <t>COS01</t>
  </si>
  <si>
    <t>Core Ranges</t>
  </si>
  <si>
    <t>CHC10</t>
  </si>
  <si>
    <t>Crookwell</t>
  </si>
  <si>
    <t>SEH09</t>
  </si>
  <si>
    <t>Culgoa-Bokhara</t>
  </si>
  <si>
    <t>DRP01</t>
  </si>
  <si>
    <t>Cumberland</t>
  </si>
  <si>
    <t>SYB08</t>
  </si>
  <si>
    <t>Curnamona</t>
  </si>
  <si>
    <t>BHC06</t>
  </si>
  <si>
    <t>Cuttaburra-Paroo</t>
  </si>
  <si>
    <t>MUL07</t>
  </si>
  <si>
    <t>Daintree-Bloomfield</t>
  </si>
  <si>
    <t>WET09</t>
  </si>
  <si>
    <t>Dalmorton</t>
  </si>
  <si>
    <t>NNC03</t>
  </si>
  <si>
    <t>DAB01</t>
  </si>
  <si>
    <t>Dandaragan Plateau</t>
  </si>
  <si>
    <t>SWA01</t>
  </si>
  <si>
    <t>Darling Depression</t>
  </si>
  <si>
    <t>MDD06</t>
  </si>
  <si>
    <t>DAC01</t>
  </si>
  <si>
    <t>Davenport</t>
  </si>
  <si>
    <t>DMR02</t>
  </si>
  <si>
    <t>Dawson River Downs</t>
  </si>
  <si>
    <t>BBS07</t>
  </si>
  <si>
    <t>Debella</t>
  </si>
  <si>
    <t>CMC06</t>
  </si>
  <si>
    <t>Deepwater Downs</t>
  </si>
  <si>
    <t>NET06</t>
  </si>
  <si>
    <t>Diamantina-Eyre</t>
  </si>
  <si>
    <t>CHC04</t>
  </si>
  <si>
    <t>Dieri</t>
  </si>
  <si>
    <t>SSD03</t>
  </si>
  <si>
    <t>SA, QLD</t>
  </si>
  <si>
    <t>Donors Plateau</t>
  </si>
  <si>
    <t>GUP08</t>
  </si>
  <si>
    <t>Doomadgee Plains</t>
  </si>
  <si>
    <t>GUP07</t>
  </si>
  <si>
    <t>Dulacca Downs</t>
  </si>
  <si>
    <t>BBS14</t>
  </si>
  <si>
    <t>Dulcie</t>
  </si>
  <si>
    <t>BRT04</t>
  </si>
  <si>
    <t>Dundas Tablelands</t>
  </si>
  <si>
    <t>VIM04</t>
  </si>
  <si>
    <t>Dune Field</t>
  </si>
  <si>
    <t>GID02</t>
  </si>
  <si>
    <t>East Gippsland Lowlands</t>
  </si>
  <si>
    <t>SEC01</t>
  </si>
  <si>
    <t>Eastern Darling Downs</t>
  </si>
  <si>
    <t>BBS17</t>
  </si>
  <si>
    <t>Eastern Goldfield</t>
  </si>
  <si>
    <t>COO03</t>
  </si>
  <si>
    <t>Eastern Mallee</t>
  </si>
  <si>
    <t>MAL01</t>
  </si>
  <si>
    <t>Eastern Mulga Plains</t>
  </si>
  <si>
    <t>MUL02</t>
  </si>
  <si>
    <t>Eastern Murchison</t>
  </si>
  <si>
    <t>MUR01</t>
  </si>
  <si>
    <t>Eastern Nandewars</t>
  </si>
  <si>
    <t>NET16</t>
  </si>
  <si>
    <t>Ebor Basalts</t>
  </si>
  <si>
    <t>NET08</t>
  </si>
  <si>
    <t>Edel</t>
  </si>
  <si>
    <t>YAL01</t>
  </si>
  <si>
    <t>Ehrenberg</t>
  </si>
  <si>
    <t>GSD03</t>
  </si>
  <si>
    <t>Ellerston</t>
  </si>
  <si>
    <t>NNC15</t>
  </si>
  <si>
    <t>Ettrema</t>
  </si>
  <si>
    <t>SYB13</t>
  </si>
  <si>
    <t>Everard Block</t>
  </si>
  <si>
    <t>CER03</t>
  </si>
  <si>
    <t>Eyre Hills</t>
  </si>
  <si>
    <t>EYB03</t>
  </si>
  <si>
    <t>Eyre Mallee</t>
  </si>
  <si>
    <t>EYB05</t>
  </si>
  <si>
    <t>Finke River</t>
  </si>
  <si>
    <t>FIN02</t>
  </si>
  <si>
    <t>Fitzgerald</t>
  </si>
  <si>
    <t>ESP01</t>
  </si>
  <si>
    <t>Fitzroy Trough</t>
  </si>
  <si>
    <t>DAL01</t>
  </si>
  <si>
    <t>Fleurieu</t>
  </si>
  <si>
    <t>KAN02</t>
  </si>
  <si>
    <t>Flinders</t>
  </si>
  <si>
    <t>FUR02</t>
  </si>
  <si>
    <t>Fortescue</t>
  </si>
  <si>
    <t>PIL02</t>
  </si>
  <si>
    <t>Gawler Lakes</t>
  </si>
  <si>
    <t>GAW03</t>
  </si>
  <si>
    <t>Gawler Volcanics</t>
  </si>
  <si>
    <t>GAW02</t>
  </si>
  <si>
    <t>Georgetown-Croydon</t>
  </si>
  <si>
    <t>EIU01</t>
  </si>
  <si>
    <t>Georgina Limestone</t>
  </si>
  <si>
    <t>MGD03</t>
  </si>
  <si>
    <t>Geraldton Hills</t>
  </si>
  <si>
    <t>GES01</t>
  </si>
  <si>
    <t>Gilberton Plateau</t>
  </si>
  <si>
    <t>GUP09</t>
  </si>
  <si>
    <t>Gippsland Plain</t>
  </si>
  <si>
    <t>SCP01</t>
  </si>
  <si>
    <t>Glenelg Plain</t>
  </si>
  <si>
    <t>NCP02</t>
  </si>
  <si>
    <t>Glenn Innes-Guyra Basalts</t>
  </si>
  <si>
    <t>NET07</t>
  </si>
  <si>
    <t>Goldfields</t>
  </si>
  <si>
    <t>VIM01</t>
  </si>
  <si>
    <t>Goneaway Tablelands</t>
  </si>
  <si>
    <t>CHC03</t>
  </si>
  <si>
    <t>Great Darling Anabranch</t>
  </si>
  <si>
    <t>DRP08</t>
  </si>
  <si>
    <t>Great Sandy</t>
  </si>
  <si>
    <t>SEQ09</t>
  </si>
  <si>
    <t>Greater Grampians</t>
  </si>
  <si>
    <t>VIM03</t>
  </si>
  <si>
    <t>Gregory</t>
  </si>
  <si>
    <t>OVP03</t>
  </si>
  <si>
    <t>Groote</t>
  </si>
  <si>
    <t>ARC04</t>
  </si>
  <si>
    <t>Guy Fawkes</t>
  </si>
  <si>
    <t>NNC19</t>
  </si>
  <si>
    <t>Gympie Block</t>
  </si>
  <si>
    <t>SEQ07</t>
  </si>
  <si>
    <t>Hamersley</t>
  </si>
  <si>
    <t>PIL03</t>
  </si>
  <si>
    <t>HAM01</t>
  </si>
  <si>
    <t>Hart</t>
  </si>
  <si>
    <t>CEK02</t>
  </si>
  <si>
    <t>Hartz Range</t>
  </si>
  <si>
    <t>MAC03</t>
  </si>
  <si>
    <t>Heard and McDonald Islands</t>
  </si>
  <si>
    <t>SAI01</t>
  </si>
  <si>
    <t>Henbury</t>
  </si>
  <si>
    <t>FIN01</t>
  </si>
  <si>
    <t>Herbert</t>
  </si>
  <si>
    <t>WET01</t>
  </si>
  <si>
    <t>Herberton-Wairuna</t>
  </si>
  <si>
    <t>EIU06</t>
  </si>
  <si>
    <t>Hermit Creek</t>
  </si>
  <si>
    <t>VIB02</t>
  </si>
  <si>
    <t>Highlands-Northern Fall</t>
  </si>
  <si>
    <t>SEH02</t>
  </si>
  <si>
    <t>Highlands-Southern Fall</t>
  </si>
  <si>
    <t>SEH01</t>
  </si>
  <si>
    <t>Hill End</t>
  </si>
  <si>
    <t>SEH13</t>
  </si>
  <si>
    <t>Hodgkinson Basin</t>
  </si>
  <si>
    <t>EIU03</t>
  </si>
  <si>
    <t>Holroyd Plain-Red Plateau</t>
  </si>
  <si>
    <t>GUP06</t>
  </si>
  <si>
    <t>Hunter</t>
  </si>
  <si>
    <t>SYB02</t>
  </si>
  <si>
    <t>Illawarra</t>
  </si>
  <si>
    <t>SYB12</t>
  </si>
  <si>
    <t>Inglewood Sandstones</t>
  </si>
  <si>
    <t>BBS18</t>
  </si>
  <si>
    <t>Inland Slopes</t>
  </si>
  <si>
    <t>NSS01</t>
  </si>
  <si>
    <t>Innisfail</t>
  </si>
  <si>
    <t>WET03</t>
  </si>
  <si>
    <t>Inverell Basalts</t>
  </si>
  <si>
    <t>NAN02</t>
  </si>
  <si>
    <t>Isaac-Comet Downs</t>
  </si>
  <si>
    <t>BBN11</t>
  </si>
  <si>
    <t>Jardine-Pascoe Sandstones</t>
  </si>
  <si>
    <t>CYP04</t>
  </si>
  <si>
    <t>Jericho</t>
  </si>
  <si>
    <t>DEU04</t>
  </si>
  <si>
    <t>Jervis</t>
  </si>
  <si>
    <t>SYB14</t>
  </si>
  <si>
    <t>Kanangra</t>
  </si>
  <si>
    <t>SEH08</t>
  </si>
  <si>
    <t>Kangaroo Island</t>
  </si>
  <si>
    <t>KAN01</t>
  </si>
  <si>
    <t>Kaputar</t>
  </si>
  <si>
    <t>NAN03</t>
  </si>
  <si>
    <t>Karuah Manning</t>
  </si>
  <si>
    <t>NNC17</t>
  </si>
  <si>
    <t>Karumba Plains</t>
  </si>
  <si>
    <t>GUP01</t>
  </si>
  <si>
    <t>Katanning</t>
  </si>
  <si>
    <t>AVW02</t>
  </si>
  <si>
    <t>Keep</t>
  </si>
  <si>
    <t>VIB01</t>
  </si>
  <si>
    <t>Kerrabee</t>
  </si>
  <si>
    <t>SYB01</t>
  </si>
  <si>
    <t>Kerribree Basin</t>
  </si>
  <si>
    <t>MUL13</t>
  </si>
  <si>
    <t>Kidston</t>
  </si>
  <si>
    <t>EIU02</t>
  </si>
  <si>
    <t>KIN01</t>
  </si>
  <si>
    <t>Kingoonya</t>
  </si>
  <si>
    <t>GAW05</t>
  </si>
  <si>
    <t>Kintore</t>
  </si>
  <si>
    <t>GVD04</t>
  </si>
  <si>
    <t>Kirrama-Hinchinbrook</t>
  </si>
  <si>
    <t>WET06</t>
  </si>
  <si>
    <t>Kybeyan-Gourock</t>
  </si>
  <si>
    <t>SEH15</t>
  </si>
  <si>
    <t>Kynuna Plateau</t>
  </si>
  <si>
    <t>MGD05</t>
  </si>
  <si>
    <t>Lachlan</t>
  </si>
  <si>
    <t>RIV01</t>
  </si>
  <si>
    <t>Lachlan Plains</t>
  </si>
  <si>
    <t>COP05</t>
  </si>
  <si>
    <t>Lake Bennett</t>
  </si>
  <si>
    <t>GSD05</t>
  </si>
  <si>
    <t>Lake Lewis</t>
  </si>
  <si>
    <t>GSD06</t>
  </si>
  <si>
    <t>Lake Pure</t>
  </si>
  <si>
    <t>CHC07</t>
  </si>
  <si>
    <t>Langlo Plains</t>
  </si>
  <si>
    <t>MUL06</t>
  </si>
  <si>
    <t>Lateritic Plain</t>
  </si>
  <si>
    <t>GID01</t>
  </si>
  <si>
    <t>Laura Lowlands</t>
  </si>
  <si>
    <t>CYP06</t>
  </si>
  <si>
    <t>Lesueur Sandplain</t>
  </si>
  <si>
    <t>GES02</t>
  </si>
  <si>
    <t>Limmen</t>
  </si>
  <si>
    <t>GUC01</t>
  </si>
  <si>
    <t>Liverpool Plains</t>
  </si>
  <si>
    <t>BBS25</t>
  </si>
  <si>
    <t>Liverpool Range</t>
  </si>
  <si>
    <t>BBS26</t>
  </si>
  <si>
    <t>Lord Howe Island</t>
  </si>
  <si>
    <t>PSI01</t>
  </si>
  <si>
    <t>Louth Plains</t>
  </si>
  <si>
    <t>DRP05</t>
  </si>
  <si>
    <t>Lowan Mallee</t>
  </si>
  <si>
    <t>MDD04</t>
  </si>
  <si>
    <t>SA, VIC</t>
  </si>
  <si>
    <t>Lower Slopes</t>
  </si>
  <si>
    <t>NSS02</t>
  </si>
  <si>
    <t>Lucindale</t>
  </si>
  <si>
    <t>NCP03</t>
  </si>
  <si>
    <t>Macalister</t>
  </si>
  <si>
    <t>WET08</t>
  </si>
  <si>
    <t>Mackay</t>
  </si>
  <si>
    <t>GSD02</t>
  </si>
  <si>
    <t>Macleay Gorges</t>
  </si>
  <si>
    <t>NNC09</t>
  </si>
  <si>
    <t>Macleay Hastings</t>
  </si>
  <si>
    <t>NNC07</t>
  </si>
  <si>
    <t>Macquarie Island</t>
  </si>
  <si>
    <t>SAI02</t>
  </si>
  <si>
    <t>Macumba</t>
  </si>
  <si>
    <t>STP05</t>
  </si>
  <si>
    <t>Mainoru</t>
  </si>
  <si>
    <t>ARP02</t>
  </si>
  <si>
    <t>Manifold</t>
  </si>
  <si>
    <t>CMC05</t>
  </si>
  <si>
    <t>Maningrida</t>
  </si>
  <si>
    <t>ARC02</t>
  </si>
  <si>
    <t>Mann-Musgrave Block</t>
  </si>
  <si>
    <t>CER01</t>
  </si>
  <si>
    <t>SA, NT, WA</t>
  </si>
  <si>
    <t>Maralinga</t>
  </si>
  <si>
    <t>GVD03</t>
  </si>
  <si>
    <t>Mardabilla</t>
  </si>
  <si>
    <t>COO01</t>
  </si>
  <si>
    <t>Marlborough Plains</t>
  </si>
  <si>
    <t>BBN14</t>
  </si>
  <si>
    <t>McArthur</t>
  </si>
  <si>
    <t>GFU01</t>
  </si>
  <si>
    <t>McDonnell</t>
  </si>
  <si>
    <t>MAC01</t>
  </si>
  <si>
    <t>McLarty</t>
  </si>
  <si>
    <t>GSD01</t>
  </si>
  <si>
    <t>Menindee</t>
  </si>
  <si>
    <t>DRP07</t>
  </si>
  <si>
    <t>Merredin</t>
  </si>
  <si>
    <t>AVW01</t>
  </si>
  <si>
    <t>Mitchell</t>
  </si>
  <si>
    <t>NOK01</t>
  </si>
  <si>
    <t>Mitchell-Gilbert Fans</t>
  </si>
  <si>
    <t>GUP04</t>
  </si>
  <si>
    <t>Monaro</t>
  </si>
  <si>
    <t>SEH16</t>
  </si>
  <si>
    <t>Moonie-Barwon Interfluve</t>
  </si>
  <si>
    <t>BBS20</t>
  </si>
  <si>
    <t>Moonie-Commoron Floodout</t>
  </si>
  <si>
    <t>BBS19</t>
  </si>
  <si>
    <t>Mootwingee Downs</t>
  </si>
  <si>
    <t>BHC02</t>
  </si>
  <si>
    <t>Moredun Volcanics</t>
  </si>
  <si>
    <t>NET09</t>
  </si>
  <si>
    <t>Moreton Basin</t>
  </si>
  <si>
    <t>SEQ02</t>
  </si>
  <si>
    <t>Moss Vale</t>
  </si>
  <si>
    <t>SYB11</t>
  </si>
  <si>
    <t>Mount Chapple</t>
  </si>
  <si>
    <t>BRT03</t>
  </si>
  <si>
    <t>Mount Eliza</t>
  </si>
  <si>
    <t>CEK03</t>
  </si>
  <si>
    <t>Mount Gambier</t>
  </si>
  <si>
    <t>SVP02</t>
  </si>
  <si>
    <t>Mount Isa</t>
  </si>
  <si>
    <t>MII03</t>
  </si>
  <si>
    <t>Mount Lofty Ranges</t>
  </si>
  <si>
    <t>FLB01</t>
  </si>
  <si>
    <t>Mount Morgan Ranges</t>
  </si>
  <si>
    <t>BBS04</t>
  </si>
  <si>
    <t>Mummel Escarpment</t>
  </si>
  <si>
    <t>NNC12</t>
  </si>
  <si>
    <t>Murgenella</t>
  </si>
  <si>
    <t>ARC01</t>
  </si>
  <si>
    <t>Murnpeowie</t>
  </si>
  <si>
    <t>STP03</t>
  </si>
  <si>
    <t>Murray Fans</t>
  </si>
  <si>
    <t>RIV03</t>
  </si>
  <si>
    <t>Murray Lakes and Coorong</t>
  </si>
  <si>
    <t>MDD03</t>
  </si>
  <si>
    <t>Murray Mallee</t>
  </si>
  <si>
    <t>MDD02</t>
  </si>
  <si>
    <t>Murray Scroll Belt</t>
  </si>
  <si>
    <t>RIV06</t>
  </si>
  <si>
    <t>Murrumbateman</t>
  </si>
  <si>
    <t>SEH06</t>
  </si>
  <si>
    <t>NSW, ACT</t>
  </si>
  <si>
    <t>Murrumbidgee</t>
  </si>
  <si>
    <t>RIV02</t>
  </si>
  <si>
    <t>Myall Plains</t>
  </si>
  <si>
    <t>GAW01</t>
  </si>
  <si>
    <t>Nandewar Northern Complex</t>
  </si>
  <si>
    <t>NAN01</t>
  </si>
  <si>
    <t>Narrandool</t>
  </si>
  <si>
    <t>BBS28</t>
  </si>
  <si>
    <t>Nebine Plains</t>
  </si>
  <si>
    <t>MUL03</t>
  </si>
  <si>
    <t>Nebo-Connors Ranges</t>
  </si>
  <si>
    <t>BBN12</t>
  </si>
  <si>
    <t>Newcastle</t>
  </si>
  <si>
    <t>STU02</t>
  </si>
  <si>
    <t>Nhulunbuy</t>
  </si>
  <si>
    <t>ARC03</t>
  </si>
  <si>
    <t>Nicholson</t>
  </si>
  <si>
    <t>GFU02</t>
  </si>
  <si>
    <t>Nightcap</t>
  </si>
  <si>
    <t>NET18</t>
  </si>
  <si>
    <t>Noccundra Slopes</t>
  </si>
  <si>
    <t>CHC08</t>
  </si>
  <si>
    <t>Norfolk Island</t>
  </si>
  <si>
    <t>PSI02</t>
  </si>
  <si>
    <t>North Eastern Plains</t>
  </si>
  <si>
    <t>MUL04</t>
  </si>
  <si>
    <t>Northeast Forest Lands</t>
  </si>
  <si>
    <t>NET11</t>
  </si>
  <si>
    <t>Northern Basalts</t>
  </si>
  <si>
    <t>BBS21</t>
  </si>
  <si>
    <t>Northern Bowen Basin</t>
  </si>
  <si>
    <t>BBN06</t>
  </si>
  <si>
    <t>Northern Downs</t>
  </si>
  <si>
    <t>MGD06</t>
  </si>
  <si>
    <t>Northern Flinders</t>
  </si>
  <si>
    <t>FLB05</t>
  </si>
  <si>
    <t>Northern Holroyd Plain</t>
  </si>
  <si>
    <t>CYP08</t>
  </si>
  <si>
    <t>Northern Jarrah Forest</t>
  </si>
  <si>
    <t>JAF01</t>
  </si>
  <si>
    <t>Northern Midlands</t>
  </si>
  <si>
    <t>TNM01</t>
  </si>
  <si>
    <t>Northern Outwash</t>
  </si>
  <si>
    <t>BBS22</t>
  </si>
  <si>
    <t>Northern Slopes</t>
  </si>
  <si>
    <t>TNS01</t>
  </si>
  <si>
    <t>Northern Uplands</t>
  </si>
  <si>
    <t>MUL09</t>
  </si>
  <si>
    <t>Nullarbor Plain</t>
  </si>
  <si>
    <t>NUL02</t>
  </si>
  <si>
    <t>Nymagee</t>
  </si>
  <si>
    <t>COP04</t>
  </si>
  <si>
    <t>Oberon</t>
  </si>
  <si>
    <t>SEH10</t>
  </si>
  <si>
    <t>Olary Spur</t>
  </si>
  <si>
    <t>FLB03</t>
  </si>
  <si>
    <t>Oodnadatta</t>
  </si>
  <si>
    <t>STP02</t>
  </si>
  <si>
    <t>Orange</t>
  </si>
  <si>
    <t>SEH12</t>
  </si>
  <si>
    <t>Otway Plain</t>
  </si>
  <si>
    <t>SCP02</t>
  </si>
  <si>
    <t>Otway Ranges</t>
  </si>
  <si>
    <t>SEH03</t>
  </si>
  <si>
    <t>Paluma-Seaview</t>
  </si>
  <si>
    <t>WET05</t>
  </si>
  <si>
    <t>Paroo Overflow</t>
  </si>
  <si>
    <t>MUL15</t>
  </si>
  <si>
    <t>Paroo-Darling Sands</t>
  </si>
  <si>
    <t>MUL16</t>
  </si>
  <si>
    <t>Parson</t>
  </si>
  <si>
    <t>CEA02</t>
  </si>
  <si>
    <t>Peake-Dennison Inlier</t>
  </si>
  <si>
    <t>STP04</t>
  </si>
  <si>
    <t>Pedirka</t>
  </si>
  <si>
    <t>FIN04</t>
  </si>
  <si>
    <t>Peel</t>
  </si>
  <si>
    <t>NAN04</t>
  </si>
  <si>
    <t>Pellews</t>
  </si>
  <si>
    <t>GUC02</t>
  </si>
  <si>
    <t>Pentecost</t>
  </si>
  <si>
    <t>CEK01</t>
  </si>
  <si>
    <t>Perth</t>
  </si>
  <si>
    <t>SWA02</t>
  </si>
  <si>
    <t>Pilliga</t>
  </si>
  <si>
    <t>BBS24</t>
  </si>
  <si>
    <t>Pilliga Outwash</t>
  </si>
  <si>
    <t>BBS23</t>
  </si>
  <si>
    <t>Pindanland</t>
  </si>
  <si>
    <t>DAL02</t>
  </si>
  <si>
    <t>PCK01</t>
  </si>
  <si>
    <t>Pittwater</t>
  </si>
  <si>
    <t>SYB07</t>
  </si>
  <si>
    <t>Pooncarie-Darling</t>
  </si>
  <si>
    <t>DRP09</t>
  </si>
  <si>
    <t>Prairie-Torrens Creeks Alluvials</t>
  </si>
  <si>
    <t>DEU01</t>
  </si>
  <si>
    <t>Proserpine-Sarina Lowlands</t>
  </si>
  <si>
    <t>CMC02</t>
  </si>
  <si>
    <t>Purnululu</t>
  </si>
  <si>
    <t>OVP01</t>
  </si>
  <si>
    <t>Recherche</t>
  </si>
  <si>
    <t>ESP02</t>
  </si>
  <si>
    <t>Renehan</t>
  </si>
  <si>
    <t>STU01</t>
  </si>
  <si>
    <t>Robinvale Plains</t>
  </si>
  <si>
    <t>RIV05</t>
  </si>
  <si>
    <t>Rocky River Gorge</t>
  </si>
  <si>
    <t>NNC18</t>
  </si>
  <si>
    <t>Roebourne</t>
  </si>
  <si>
    <t>PIL04</t>
  </si>
  <si>
    <t>Round Mountain</t>
  </si>
  <si>
    <t>NET19</t>
  </si>
  <si>
    <t>Roxby</t>
  </si>
  <si>
    <t>GAW07</t>
  </si>
  <si>
    <t>Rudall</t>
  </si>
  <si>
    <t>LSD01</t>
  </si>
  <si>
    <t>Sandover</t>
  </si>
  <si>
    <t>TAN03</t>
  </si>
  <si>
    <t>Scenic Rim</t>
  </si>
  <si>
    <t>SEQ10</t>
  </si>
  <si>
    <t>Scopes Range</t>
  </si>
  <si>
    <t>BHC03</t>
  </si>
  <si>
    <t>Severn River Volcanics</t>
  </si>
  <si>
    <t>NET10</t>
  </si>
  <si>
    <t>Shield</t>
  </si>
  <si>
    <t>GVD01</t>
  </si>
  <si>
    <t>Simpson Desert</t>
  </si>
  <si>
    <t>SSD02</t>
  </si>
  <si>
    <t>SA, QLD, NT</t>
  </si>
  <si>
    <t>Snowy Mountains</t>
  </si>
  <si>
    <t>AUA01</t>
  </si>
  <si>
    <t>South Burnett</t>
  </si>
  <si>
    <t>SEQ06</t>
  </si>
  <si>
    <t>South Drummond Basin</t>
  </si>
  <si>
    <t>BBN13</t>
  </si>
  <si>
    <t>South East</t>
  </si>
  <si>
    <t>TSE01</t>
  </si>
  <si>
    <t>South East Coastal Ranges</t>
  </si>
  <si>
    <t>SEC02</t>
  </si>
  <si>
    <t>South Kimberley Interzone</t>
  </si>
  <si>
    <t>OVP02</t>
  </si>
  <si>
    <t>South Olary Plain</t>
  </si>
  <si>
    <t>MDD01</t>
  </si>
  <si>
    <t>NSW, VIC, SA</t>
  </si>
  <si>
    <t>Southern Cross</t>
  </si>
  <si>
    <t>COO02</t>
  </si>
  <si>
    <t>Southern Downs</t>
  </si>
  <si>
    <t>BBS12</t>
  </si>
  <si>
    <t>Southern Flinders</t>
  </si>
  <si>
    <t>FLB04</t>
  </si>
  <si>
    <t>Southern Great Barrier Reef</t>
  </si>
  <si>
    <t>SEQ14</t>
  </si>
  <si>
    <t>Southern Jarrah Forest</t>
  </si>
  <si>
    <t>JAF02</t>
  </si>
  <si>
    <t>Southern Ranges</t>
  </si>
  <si>
    <t>TSR01</t>
  </si>
  <si>
    <t>Southern Wooded Downs</t>
  </si>
  <si>
    <t>MGD08</t>
  </si>
  <si>
    <t>Southern Yorke</t>
  </si>
  <si>
    <t>EYB01</t>
  </si>
  <si>
    <t>Southwestern Downs</t>
  </si>
  <si>
    <t>MGD04</t>
  </si>
  <si>
    <t>Southwestern Plateaus and Floodouts</t>
  </si>
  <si>
    <t>MII01</t>
  </si>
  <si>
    <t>St Vincent</t>
  </si>
  <si>
    <t>EYB02</t>
  </si>
  <si>
    <t>Stanthorpe Plateau</t>
  </si>
  <si>
    <t>NET15</t>
  </si>
  <si>
    <t>Starke Coastal Lowlands</t>
  </si>
  <si>
    <t>CYP02</t>
  </si>
  <si>
    <t>Strzelecki Desert</t>
  </si>
  <si>
    <t>SSD05</t>
  </si>
  <si>
    <t>Strzelecki Ranges</t>
  </si>
  <si>
    <t>SEH04</t>
  </si>
  <si>
    <t>Sturt Stony Desert</t>
  </si>
  <si>
    <t>CHC02</t>
  </si>
  <si>
    <t>Sunshine Coast-Gold Coast Lowlands</t>
  </si>
  <si>
    <t>SEQ04</t>
  </si>
  <si>
    <t>Sydney Cataract</t>
  </si>
  <si>
    <t>SYB10</t>
  </si>
  <si>
    <t>Sylvester</t>
  </si>
  <si>
    <t>MGD01</t>
  </si>
  <si>
    <t>Talbragar Valley</t>
  </si>
  <si>
    <t>BBS27</t>
  </si>
  <si>
    <t>Talia</t>
  </si>
  <si>
    <t>EYB04</t>
  </si>
  <si>
    <t>Tallaringa</t>
  </si>
  <si>
    <t>GVD05</t>
  </si>
  <si>
    <t>Tallering</t>
  </si>
  <si>
    <t>YAL02</t>
  </si>
  <si>
    <t>Tanami Desert</t>
  </si>
  <si>
    <t>TAN01</t>
  </si>
  <si>
    <t>Tara Downs</t>
  </si>
  <si>
    <t>BBS16</t>
  </si>
  <si>
    <t>Taroom Downs</t>
  </si>
  <si>
    <t>BBS11</t>
  </si>
  <si>
    <t>Tenterfield Plateau</t>
  </si>
  <si>
    <t>NET12</t>
  </si>
  <si>
    <t>Thorntonia</t>
  </si>
  <si>
    <t>MII02</t>
  </si>
  <si>
    <t>Tieyon</t>
  </si>
  <si>
    <t>FIN03</t>
  </si>
  <si>
    <t>SA, NT</t>
  </si>
  <si>
    <t>Timor Sea Coral Islands</t>
  </si>
  <si>
    <t>ITI03</t>
  </si>
  <si>
    <t>Tingha Plateau</t>
  </si>
  <si>
    <t>NET17</t>
  </si>
  <si>
    <t>Tintinara</t>
  </si>
  <si>
    <t>NCP04</t>
  </si>
  <si>
    <t>Tiwi</t>
  </si>
  <si>
    <t>TIW01</t>
  </si>
  <si>
    <t>Toko Plains</t>
  </si>
  <si>
    <t>CHC01</t>
  </si>
  <si>
    <t>Tomalla</t>
  </si>
  <si>
    <t>NNC14</t>
  </si>
  <si>
    <t>Torrens</t>
  </si>
  <si>
    <t>GAW06</t>
  </si>
  <si>
    <t>Townsville Plains</t>
  </si>
  <si>
    <t>BBN01</t>
  </si>
  <si>
    <t>Trainor</t>
  </si>
  <si>
    <t>LSD02</t>
  </si>
  <si>
    <t>Tully</t>
  </si>
  <si>
    <t>WET02</t>
  </si>
  <si>
    <t>Undara-Toomba Basalts</t>
  </si>
  <si>
    <t>EIU05</t>
  </si>
  <si>
    <t>Upper Belyando Floodout</t>
  </si>
  <si>
    <t>BBN08</t>
  </si>
  <si>
    <t>Upper Hunter</t>
  </si>
  <si>
    <t>NNC16</t>
  </si>
  <si>
    <t>Upper Manning</t>
  </si>
  <si>
    <t>NNC10</t>
  </si>
  <si>
    <t>Urisino Sandplains</t>
  </si>
  <si>
    <t>MUL11</t>
  </si>
  <si>
    <t>Victorian Alps</t>
  </si>
  <si>
    <t>AUA02</t>
  </si>
  <si>
    <t>Victorian Riverina</t>
  </si>
  <si>
    <t>RIV04</t>
  </si>
  <si>
    <t>Victorian Volcanic Plain</t>
  </si>
  <si>
    <t>SVP01</t>
  </si>
  <si>
    <t>Walcha Plateau</t>
  </si>
  <si>
    <t>NET03</t>
  </si>
  <si>
    <t>Warrambool-Moonie</t>
  </si>
  <si>
    <t>DRP02</t>
  </si>
  <si>
    <t>Warrego Plains</t>
  </si>
  <si>
    <t>MUL05</t>
  </si>
  <si>
    <t>Warrego Sands</t>
  </si>
  <si>
    <t>MUL12</t>
  </si>
  <si>
    <t>WAR01</t>
  </si>
  <si>
    <t>Warriner</t>
  </si>
  <si>
    <t>SSD04</t>
  </si>
  <si>
    <t>Warrnambool Plain</t>
  </si>
  <si>
    <t>SCP03</t>
  </si>
  <si>
    <t>Washpool</t>
  </si>
  <si>
    <t>NNC01</t>
  </si>
  <si>
    <t>Watarrka</t>
  </si>
  <si>
    <t>MAC02</t>
  </si>
  <si>
    <t>Watarru</t>
  </si>
  <si>
    <t>CER02</t>
  </si>
  <si>
    <t>Weipa Plateau</t>
  </si>
  <si>
    <t>CYP07</t>
  </si>
  <si>
    <t>Wellesley Islands</t>
  </si>
  <si>
    <t>GUP10</t>
  </si>
  <si>
    <t>Weribone High</t>
  </si>
  <si>
    <t>BBS15</t>
  </si>
  <si>
    <t>Wessels</t>
  </si>
  <si>
    <t>ARC05</t>
  </si>
  <si>
    <t>West</t>
  </si>
  <si>
    <t>TWE01</t>
  </si>
  <si>
    <t>West Balonne Plains</t>
  </si>
  <si>
    <t>MUL01</t>
  </si>
  <si>
    <t>West Bulloo</t>
  </si>
  <si>
    <t>MUL10</t>
  </si>
  <si>
    <t>West Warrego</t>
  </si>
  <si>
    <t>MUL08</t>
  </si>
  <si>
    <t>Western Mallee</t>
  </si>
  <si>
    <t>MAL02</t>
  </si>
  <si>
    <t>Western Murchison</t>
  </si>
  <si>
    <t>MUR02</t>
  </si>
  <si>
    <t>White Cliffs Plateau</t>
  </si>
  <si>
    <t>MUL14</t>
  </si>
  <si>
    <t>Whitsunday</t>
  </si>
  <si>
    <t>CMC01</t>
  </si>
  <si>
    <t>Wilcannia Plains</t>
  </si>
  <si>
    <t>DRP06</t>
  </si>
  <si>
    <t>Wilsons Promontory</t>
  </si>
  <si>
    <t>FUR01</t>
  </si>
  <si>
    <t>Wilton</t>
  </si>
  <si>
    <t>CEA01</t>
  </si>
  <si>
    <t>Wimmera</t>
  </si>
  <si>
    <t>MDD05</t>
  </si>
  <si>
    <t>Witjira</t>
  </si>
  <si>
    <t>STP06</t>
  </si>
  <si>
    <t>Wollemi</t>
  </si>
  <si>
    <t>SYB04</t>
  </si>
  <si>
    <t>Wongwibinda Plateau</t>
  </si>
  <si>
    <t>NET05</t>
  </si>
  <si>
    <t>Woodenbong</t>
  </si>
  <si>
    <t>SEQ11</t>
  </si>
  <si>
    <t>Woondoola Plains</t>
  </si>
  <si>
    <t>GUP03</t>
  </si>
  <si>
    <t>Woorabinda</t>
  </si>
  <si>
    <t>BBS02</t>
  </si>
  <si>
    <t>Wooramel</t>
  </si>
  <si>
    <t>CAR02</t>
  </si>
  <si>
    <t>Wyarra Hills</t>
  </si>
  <si>
    <t>BBN05</t>
  </si>
  <si>
    <t>Wycliffe</t>
  </si>
  <si>
    <t>TAN02</t>
  </si>
  <si>
    <t>Wyong</t>
  </si>
  <si>
    <t>SYB06</t>
  </si>
  <si>
    <t>Yalata</t>
  </si>
  <si>
    <t>NUL03</t>
  </si>
  <si>
    <t>Yarrowyck-Kentucky Downs</t>
  </si>
  <si>
    <t>NET13</t>
  </si>
  <si>
    <t>Yellabinna</t>
  </si>
  <si>
    <t>GVD06</t>
  </si>
  <si>
    <t>Yengo</t>
  </si>
  <si>
    <t>SYB05</t>
  </si>
  <si>
    <t>Yuendumu</t>
  </si>
  <si>
    <t>BRT01</t>
  </si>
  <si>
    <t>Yuraygir</t>
  </si>
  <si>
    <t>NNC05</t>
  </si>
  <si>
    <r>
      <rPr>
        <vertAlign val="superscript"/>
        <sz val="8"/>
        <color rgb="FF808080"/>
        <rFont val="Arial"/>
        <family val="2"/>
      </rPr>
      <t>4</t>
    </r>
    <r>
      <rPr>
        <sz val="8"/>
        <color rgb="FF808080"/>
        <rFont val="Arial"/>
        <family val="2"/>
      </rPr>
      <t xml:space="preserve"> The total number of protected areas (unique PA_IDs) contributing to the NRS regardless of overlaps. Prior to CAPAD 2022 this figure was calculated as a sum of the top table total (excluding overlaps), and the bottom table total (overlapped areas).</t>
    </r>
  </si>
  <si>
    <t>* This table excludes protected areas that are categorised ENVIRON = 'B' (both terrestrial and marine) which are &lt;30% land (based on Geoscience Australia's Aus 100k coastline). These records are included in the Marine CAPAD 2022 data and tables. See separate state/territory spreadsheets for more information.</t>
  </si>
  <si>
    <r>
      <rPr>
        <b/>
        <vertAlign val="superscript"/>
        <sz val="10"/>
        <color theme="1"/>
        <rFont val="Arial"/>
        <family val="2"/>
      </rPr>
      <t>3</t>
    </r>
    <r>
      <rPr>
        <b/>
        <sz val="10"/>
        <color theme="1"/>
        <rFont val="Arial"/>
        <family val="2"/>
      </rPr>
      <t xml:space="preserve"> Average size (ha)</t>
    </r>
  </si>
  <si>
    <r>
      <rPr>
        <b/>
        <vertAlign val="superscript"/>
        <sz val="10"/>
        <color theme="1"/>
        <rFont val="Arial"/>
        <family val="2"/>
      </rPr>
      <t>4</t>
    </r>
    <r>
      <rPr>
        <b/>
        <sz val="10"/>
        <color theme="1"/>
        <rFont val="Arial"/>
        <family val="2"/>
      </rPr>
      <t xml:space="preserve"> % of Australia</t>
    </r>
  </si>
  <si>
    <r>
      <rPr>
        <vertAlign val="superscript"/>
        <sz val="8"/>
        <color rgb="FF808080"/>
        <rFont val="Arial"/>
        <family val="2"/>
      </rPr>
      <t>2</t>
    </r>
    <r>
      <rPr>
        <sz val="8"/>
        <color rgb="FF808080"/>
        <rFont val="Arial"/>
        <family val="2"/>
      </rPr>
      <t xml:space="preserve"> Based on the total of area protected within IBRA bioregions and does not include overlaps.</t>
    </r>
  </si>
  <si>
    <t>* Both the Subantarctic Islands and Coral Sea Bioregions are 100% protected by reserves that are in the Marine CAPAD 2022 dataset. The Subantarctic Islands Bioregion is protected by the Heard and McDonald Island Marine Reserve and Macquarie Island Nature Reserve. The Coral Sea Bioregion is protected by the Coral Sea Australian Marine Park. See the Marine CAPAD 2022 data and spreadsheets.</t>
  </si>
  <si>
    <t>* Only protected areas that meet the standard for inclusion in the NRS are included in this table. See p.4 of Technical Specification document - Terrestrial CAPAD 2020 at http://www.environment.gov.au/capad for details.</t>
  </si>
  <si>
    <t>* This table excludes protected areas that are categorised ENVIRON = 'B' (both terrestrial and marine) which are &lt;30% land (based on Geoscience Australia's Aus 100k coastline). These records are included in the Marine CAPAD 2020 data and tables. See separate state/territory spreadsheets for more information.</t>
  </si>
  <si>
    <t>* Both the Subantarctic Islands and Coral Sea Bioregions are 100% protected by reserves that are in the Marine CAPAD 2020 dataset. The Subantarctic Islands Bioregion is protected by the Heard and McDonald Island Marine Reserve and Macquarie Island Nature Reserve. The Coral Sea Bioregion is protected by the Coral Sea Australian Marine Park. See the Marine CAPAD 2020 data and spreadsheets.</t>
  </si>
  <si>
    <t>VIC,TAS,WA</t>
  </si>
  <si>
    <t>WA,QLD,NT,NSW,SA,VIC</t>
  </si>
  <si>
    <t>QLD,ACT</t>
  </si>
  <si>
    <t>Total Terrestrial Protected Areas (including overlapping areas - see below)</t>
  </si>
  <si>
    <r>
      <rPr>
        <b/>
        <vertAlign val="superscript"/>
        <sz val="11"/>
        <color theme="1"/>
        <rFont val="Calibri"/>
        <family val="2"/>
        <scheme val="minor"/>
      </rPr>
      <t>2</t>
    </r>
    <r>
      <rPr>
        <b/>
        <sz val="11"/>
        <color theme="1"/>
        <rFont val="Calibri"/>
        <family val="2"/>
        <scheme val="minor"/>
      </rPr>
      <t>Area Protected (ha)</t>
    </r>
  </si>
  <si>
    <r>
      <rPr>
        <b/>
        <vertAlign val="superscript"/>
        <sz val="11"/>
        <color theme="1"/>
        <rFont val="Calibri"/>
        <family val="2"/>
        <scheme val="minor"/>
      </rPr>
      <t>3</t>
    </r>
    <r>
      <rPr>
        <b/>
        <sz val="11"/>
        <color theme="1"/>
        <rFont val="Calibri"/>
        <family val="2"/>
        <scheme val="minor"/>
      </rPr>
      <t>Contribution to NRS (%)</t>
    </r>
  </si>
  <si>
    <r>
      <rPr>
        <vertAlign val="superscript"/>
        <sz val="8"/>
        <color rgb="FF808080"/>
        <rFont val="Arial"/>
        <family val="2"/>
      </rPr>
      <t>3</t>
    </r>
    <r>
      <rPr>
        <sz val="8"/>
        <color rgb="FF808080"/>
        <rFont val="Arial"/>
        <family val="2"/>
      </rPr>
      <t>Based on the total of area protected within IBRA bioregions and does not include overlaps.</t>
    </r>
  </si>
  <si>
    <r>
      <rPr>
        <vertAlign val="superscript"/>
        <sz val="8"/>
        <color rgb="FF808080"/>
        <rFont val="Arial"/>
        <family val="2"/>
      </rPr>
      <t>2</t>
    </r>
    <r>
      <rPr>
        <sz val="8"/>
        <color rgb="FF808080"/>
        <rFont val="Arial"/>
        <family val="2"/>
      </rPr>
      <t>Area is based on calculated GIS_AREA data (rather than gazetted areas). GIS_AREA is the area in hectares based on current spatial data and an Albers equal area projection for Australia. Only the protected area within IBRA Subregions are included in the table above. Therefore the total area protected reported here is less than in the 'Type', 'Jurisdiction', 'Governance' and 'IUCN Category' tabs. Overlaps are excluded from this table.</t>
    </r>
  </si>
  <si>
    <r>
      <rPr>
        <b/>
        <vertAlign val="superscript"/>
        <sz val="10"/>
        <color theme="1"/>
        <rFont val="Arial"/>
        <family val="2"/>
      </rPr>
      <t>1</t>
    </r>
    <r>
      <rPr>
        <b/>
        <sz val="10"/>
        <color theme="1"/>
        <rFont val="Arial"/>
        <family val="2"/>
      </rPr>
      <t>Jurisdiction(s) with Protected Area(s)</t>
    </r>
  </si>
  <si>
    <r>
      <rPr>
        <vertAlign val="superscript"/>
        <sz val="8"/>
        <color rgb="FF808080"/>
        <rFont val="Arial"/>
        <family val="2"/>
      </rPr>
      <t>1</t>
    </r>
    <r>
      <rPr>
        <sz val="8"/>
        <color rgb="FF808080"/>
        <rFont val="Arial"/>
        <family val="2"/>
      </rPr>
      <t>Jurisdiction(s) with protected areas(s) in the subregion. Subregions with no protected area</t>
    </r>
    <r>
      <rPr>
        <sz val="8"/>
        <color rgb="FF00B050"/>
        <rFont val="Arial"/>
        <family val="2"/>
      </rPr>
      <t xml:space="preserve"> </t>
    </r>
    <r>
      <rPr>
        <sz val="8"/>
        <color rgb="FF808080"/>
        <rFont val="Arial"/>
        <family val="2"/>
      </rPr>
      <t>are an exception and the jurisdiction(s) overlapping the subregion are listed. In future CAPAD releases this column will include all jurisdictions overlapping all subregions.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</si>
</sst>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0"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
      <vertAlign val="superscript"/>
      <sz val="8"/>
      <color rgb="FF808080"/>
      <name val="Arial"/>
      <family val="2"/>
    </font>
    <font>
      <b/>
      <sz val="11"/>
      <color theme="1"/>
      <name val="Calibri"/>
      <family val="2"/>
      <scheme val="minor"/>
    </font>
    <font>
      <sz val="11"/>
      <color theme="1"/>
      <name val="Calibri"/>
      <family val="2"/>
      <scheme val="minor"/>
    </font>
    <font>
      <b/>
      <vertAlign val="superscript"/>
      <sz val="11"/>
      <color theme="1"/>
      <name val="Calibri"/>
      <family val="2"/>
      <scheme val="minor"/>
    </font>
    <font>
      <sz val="8"/>
      <color rgb="FF00B050"/>
      <name val="Arial"/>
      <family val="2"/>
    </font>
  </fonts>
  <fills count="5">
    <fill>
      <patternFill patternType="none"/>
    </fill>
    <fill>
      <patternFill patternType="gray125"/>
    </fill>
    <fill>
      <patternFill patternType="solid">
        <fgColor rgb="FF99CC00"/>
        <bgColor indexed="64"/>
      </patternFill>
    </fill>
    <fill>
      <patternFill patternType="solid">
        <fgColor rgb="FFC0C0C0"/>
        <bgColor indexed="64"/>
      </patternFill>
    </fill>
    <fill>
      <patternFill patternType="solid">
        <fgColor theme="0" tint="-0.249977111117893"/>
        <bgColor indexed="64"/>
      </patternFill>
    </fill>
  </fills>
  <borders count="16">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style="thin">
        <color auto="1"/>
      </right>
      <top/>
      <bottom/>
      <diagonal/>
    </border>
    <border>
      <left/>
      <right style="thin">
        <color indexed="64"/>
      </right>
      <top style="thin">
        <color auto="1"/>
      </top>
      <bottom style="thin">
        <color auto="1"/>
      </bottom>
      <diagonal/>
    </border>
    <border>
      <left/>
      <right/>
      <top style="medium">
        <color indexed="64"/>
      </top>
      <bottom style="thin">
        <color indexed="64"/>
      </bottom>
      <diagonal/>
    </border>
    <border>
      <left/>
      <right style="thin">
        <color auto="1"/>
      </right>
      <top style="medium">
        <color auto="1"/>
      </top>
      <bottom style="thin">
        <color indexed="64"/>
      </bottom>
      <diagonal/>
    </border>
    <border>
      <left style="thin">
        <color auto="1"/>
      </left>
      <right style="thin">
        <color auto="1"/>
      </right>
      <top/>
      <bottom style="thin">
        <color auto="1"/>
      </bottom>
      <diagonal/>
    </border>
    <border>
      <left style="thin">
        <color auto="1"/>
      </left>
      <right style="medium">
        <color indexed="64"/>
      </right>
      <top style="thin">
        <color auto="1"/>
      </top>
      <bottom style="medium">
        <color indexed="64"/>
      </bottom>
      <diagonal/>
    </border>
  </borders>
  <cellStyleXfs count="2">
    <xf numFmtId="0" fontId="0" fillId="0" borderId="0"/>
    <xf numFmtId="43" fontId="7" fillId="0" borderId="0" applyFont="0" applyFill="0" applyBorder="0" applyAlignment="0" applyProtection="0"/>
  </cellStyleXfs>
  <cellXfs count="47">
    <xf numFmtId="0" fontId="0" fillId="0" borderId="0" xfId="0"/>
    <xf numFmtId="0" fontId="0" fillId="0" borderId="2" xfId="0" applyBorder="1"/>
    <xf numFmtId="0" fontId="2" fillId="0" borderId="3" xfId="0" applyFont="1" applyBorder="1"/>
    <xf numFmtId="4" fontId="2" fillId="0" borderId="3" xfId="0" applyNumberFormat="1" applyFont="1" applyBorder="1"/>
    <xf numFmtId="0" fontId="1" fillId="3" borderId="4" xfId="0" applyFont="1" applyFill="1" applyBorder="1"/>
    <xf numFmtId="164" fontId="1" fillId="3" borderId="4" xfId="0" applyNumberFormat="1" applyFont="1" applyFill="1" applyBorder="1"/>
    <xf numFmtId="0" fontId="1" fillId="0" borderId="3" xfId="0" applyFont="1" applyBorder="1"/>
    <xf numFmtId="0" fontId="2" fillId="3" borderId="3" xfId="0" applyFont="1" applyFill="1" applyBorder="1"/>
    <xf numFmtId="0" fontId="1" fillId="3" borderId="3" xfId="0" applyFont="1" applyFill="1" applyBorder="1"/>
    <xf numFmtId="164" fontId="2" fillId="0" borderId="3" xfId="0" applyNumberFormat="1" applyFont="1" applyBorder="1"/>
    <xf numFmtId="4" fontId="1" fillId="3" borderId="4" xfId="0" applyNumberFormat="1" applyFont="1" applyFill="1" applyBorder="1"/>
    <xf numFmtId="0" fontId="0" fillId="0" borderId="5" xfId="0" applyBorder="1"/>
    <xf numFmtId="0" fontId="2" fillId="0" borderId="0" xfId="0" applyFont="1"/>
    <xf numFmtId="0" fontId="0" fillId="0" borderId="0" xfId="0" applyAlignment="1">
      <alignment wrapText="1"/>
    </xf>
    <xf numFmtId="0" fontId="3" fillId="0" borderId="0" xfId="0" applyFont="1" applyAlignment="1">
      <alignment horizontal="left" wrapText="1"/>
    </xf>
    <xf numFmtId="0" fontId="3" fillId="0" borderId="0" xfId="0" applyFont="1" applyAlignment="1">
      <alignment horizontal="right" wrapText="1"/>
    </xf>
    <xf numFmtId="0" fontId="1" fillId="3" borderId="9" xfId="0" applyFont="1" applyFill="1" applyBorder="1" applyAlignment="1">
      <alignment horizontal="center" vertical="center" wrapText="1"/>
    </xf>
    <xf numFmtId="0" fontId="2" fillId="0" borderId="10" xfId="0" applyFont="1" applyBorder="1"/>
    <xf numFmtId="0" fontId="0" fillId="0" borderId="11" xfId="0" applyBorder="1"/>
    <xf numFmtId="0" fontId="2" fillId="0" borderId="12" xfId="0" applyFont="1" applyBorder="1"/>
    <xf numFmtId="0" fontId="0" fillId="0" borderId="13" xfId="0" applyBorder="1"/>
    <xf numFmtId="164" fontId="2" fillId="0" borderId="14" xfId="0" applyNumberFormat="1" applyFont="1" applyBorder="1"/>
    <xf numFmtId="0" fontId="3" fillId="0" borderId="0" xfId="0" applyFont="1" applyAlignment="1">
      <alignment horizontal="left" vertical="center" wrapText="1"/>
    </xf>
    <xf numFmtId="3" fontId="1" fillId="3" borderId="4" xfId="0" applyNumberFormat="1" applyFont="1" applyFill="1" applyBorder="1"/>
    <xf numFmtId="0" fontId="0" fillId="0" borderId="2" xfId="0" applyBorder="1" applyAlignment="1">
      <alignment vertical="center"/>
    </xf>
    <xf numFmtId="0" fontId="0" fillId="0" borderId="0" xfId="0" applyAlignment="1">
      <alignment vertical="center"/>
    </xf>
    <xf numFmtId="0" fontId="1" fillId="3" borderId="3" xfId="0" applyFont="1" applyFill="1" applyBorder="1" applyAlignment="1">
      <alignment horizontal="center" vertical="center" wrapText="1"/>
    </xf>
    <xf numFmtId="164" fontId="1" fillId="3" borderId="3" xfId="1" applyNumberFormat="1" applyFont="1" applyFill="1" applyBorder="1"/>
    <xf numFmtId="4" fontId="1" fillId="3" borderId="15" xfId="0" applyNumberFormat="1" applyFont="1" applyFill="1" applyBorder="1"/>
    <xf numFmtId="0" fontId="1" fillId="0" borderId="9" xfId="0" applyFont="1" applyBorder="1" applyAlignment="1">
      <alignment horizontal="left" vertical="center" wrapText="1"/>
    </xf>
    <xf numFmtId="4" fontId="2" fillId="3" borderId="4" xfId="0" applyNumberFormat="1" applyFont="1" applyFill="1" applyBorder="1"/>
    <xf numFmtId="164" fontId="2" fillId="3" borderId="4" xfId="0" applyNumberFormat="1" applyFont="1" applyFill="1" applyBorder="1"/>
    <xf numFmtId="0" fontId="2" fillId="3" borderId="4" xfId="0" applyFont="1" applyFill="1" applyBorder="1"/>
    <xf numFmtId="3" fontId="2" fillId="4" borderId="3" xfId="0" applyNumberFormat="1" applyFont="1" applyFill="1" applyBorder="1"/>
    <xf numFmtId="4" fontId="2" fillId="4" borderId="3" xfId="0" applyNumberFormat="1" applyFont="1" applyFill="1" applyBorder="1"/>
    <xf numFmtId="0" fontId="6" fillId="3" borderId="3" xfId="0" applyFont="1" applyFill="1" applyBorder="1" applyAlignment="1">
      <alignment horizontal="center" vertical="center" wrapText="1"/>
    </xf>
    <xf numFmtId="164" fontId="2" fillId="0" borderId="0" xfId="0" applyNumberFormat="1" applyFont="1"/>
    <xf numFmtId="0" fontId="2" fillId="0" borderId="13" xfId="0" applyFont="1" applyBorder="1"/>
    <xf numFmtId="0" fontId="1" fillId="2" borderId="1" xfId="0" applyFont="1" applyFill="1" applyBorder="1" applyAlignment="1">
      <alignment horizontal="center" vertical="center"/>
    </xf>
    <xf numFmtId="0" fontId="0" fillId="0" borderId="0" xfId="0"/>
    <xf numFmtId="0" fontId="0" fillId="0" borderId="0" xfId="0" applyAlignment="1">
      <alignment wrapText="1"/>
    </xf>
    <xf numFmtId="0" fontId="3" fillId="0" borderId="0" xfId="0" applyFont="1" applyAlignment="1">
      <alignment wrapText="1"/>
    </xf>
    <xf numFmtId="0" fontId="3" fillId="0" borderId="0" xfId="0" applyFont="1" applyAlignment="1">
      <alignment horizontal="left"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3" fillId="0" borderId="0" xfId="0" applyFont="1" applyAlignment="1">
      <alignment horizontal="left"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7"/>
  <sheetViews>
    <sheetView tabSelected="1" zoomScaleNormal="100" workbookViewId="0">
      <selection activeCell="G111" sqref="G111"/>
    </sheetView>
  </sheetViews>
  <sheetFormatPr defaultRowHeight="15" x14ac:dyDescent="0.25"/>
  <cols>
    <col min="1" max="1" width="62" customWidth="1"/>
    <col min="2" max="2" width="17.7109375" customWidth="1"/>
    <col min="3" max="3" width="20.140625" customWidth="1"/>
    <col min="4" max="4" width="30.7109375" customWidth="1"/>
    <col min="5" max="5" width="13.7109375" customWidth="1"/>
  </cols>
  <sheetData>
    <row r="1" spans="1:6" s="25" customFormat="1" ht="21.95" customHeight="1" thickBot="1" x14ac:dyDescent="0.3">
      <c r="A1" s="38" t="s">
        <v>0</v>
      </c>
      <c r="B1" s="38"/>
      <c r="C1" s="38"/>
      <c r="D1" s="38"/>
      <c r="E1" s="38"/>
      <c r="F1" s="24"/>
    </row>
    <row r="2" spans="1:6" s="25" customFormat="1" ht="21.95" customHeight="1" x14ac:dyDescent="0.25">
      <c r="A2" s="26" t="s">
        <v>1</v>
      </c>
      <c r="B2" s="26" t="s">
        <v>2</v>
      </c>
      <c r="C2" s="26" t="s">
        <v>3</v>
      </c>
      <c r="D2" s="26" t="s">
        <v>4</v>
      </c>
      <c r="E2" s="26" t="s">
        <v>5</v>
      </c>
      <c r="F2" s="24"/>
    </row>
    <row r="3" spans="1:6" ht="14.1" customHeight="1" x14ac:dyDescent="0.25">
      <c r="A3" s="2" t="s">
        <v>6</v>
      </c>
      <c r="B3" s="2">
        <v>44</v>
      </c>
      <c r="C3" s="3">
        <v>220823.59536989761</v>
      </c>
      <c r="D3" s="2" t="s">
        <v>7</v>
      </c>
      <c r="E3" s="3">
        <v>2.8722074202198699E-2</v>
      </c>
      <c r="F3" s="1"/>
    </row>
    <row r="4" spans="1:6" ht="14.1" customHeight="1" x14ac:dyDescent="0.25">
      <c r="A4" s="2" t="s">
        <v>8</v>
      </c>
      <c r="B4" s="2">
        <v>129</v>
      </c>
      <c r="C4" s="3">
        <v>786924.24304552481</v>
      </c>
      <c r="D4" s="2" t="s">
        <v>7</v>
      </c>
      <c r="E4" s="3">
        <v>0.102353629658109</v>
      </c>
      <c r="F4" s="1"/>
    </row>
    <row r="5" spans="1:6" ht="14.1" customHeight="1" x14ac:dyDescent="0.25">
      <c r="A5" s="2" t="s">
        <v>9</v>
      </c>
      <c r="B5" s="2">
        <v>4</v>
      </c>
      <c r="C5" s="3">
        <v>1638.6435075695631</v>
      </c>
      <c r="D5" s="2" t="s">
        <v>10</v>
      </c>
      <c r="E5" s="3">
        <v>2.1313501547027159E-4</v>
      </c>
      <c r="F5" s="1"/>
    </row>
    <row r="6" spans="1:6" ht="14.1" customHeight="1" x14ac:dyDescent="0.25">
      <c r="A6" s="2" t="s">
        <v>11</v>
      </c>
      <c r="B6" s="2">
        <v>1</v>
      </c>
      <c r="C6" s="3">
        <v>21763.609025393202</v>
      </c>
      <c r="D6" s="2" t="s">
        <v>12</v>
      </c>
      <c r="E6" s="3">
        <v>2.8307481919579202E-3</v>
      </c>
      <c r="F6" s="1"/>
    </row>
    <row r="7" spans="1:6" ht="14.1" customHeight="1" x14ac:dyDescent="0.25">
      <c r="A7" s="2" t="s">
        <v>13</v>
      </c>
      <c r="B7" s="2">
        <v>13</v>
      </c>
      <c r="C7" s="3">
        <v>18868.082951545741</v>
      </c>
      <c r="D7" s="2" t="s">
        <v>12</v>
      </c>
      <c r="E7" s="3">
        <v>2.454133027223649E-3</v>
      </c>
      <c r="F7" s="1"/>
    </row>
    <row r="8" spans="1:6" ht="14.1" customHeight="1" x14ac:dyDescent="0.25">
      <c r="A8" s="2" t="s">
        <v>14</v>
      </c>
      <c r="B8" s="2">
        <v>230</v>
      </c>
      <c r="C8" s="3">
        <v>37364.058378478607</v>
      </c>
      <c r="D8" s="2" t="s">
        <v>10</v>
      </c>
      <c r="E8" s="3">
        <v>4.8598667884394032E-3</v>
      </c>
      <c r="F8" s="1"/>
    </row>
    <row r="9" spans="1:6" ht="14.1" customHeight="1" x14ac:dyDescent="0.25">
      <c r="A9" s="2" t="s">
        <v>15</v>
      </c>
      <c r="B9" s="2">
        <v>2</v>
      </c>
      <c r="C9" s="3">
        <v>840.15522505724402</v>
      </c>
      <c r="D9" s="2" t="s">
        <v>7</v>
      </c>
      <c r="E9" s="3">
        <v>1.0927727480859871E-4</v>
      </c>
      <c r="F9" s="1"/>
    </row>
    <row r="10" spans="1:6" ht="14.1" customHeight="1" x14ac:dyDescent="0.25">
      <c r="A10" s="2" t="s">
        <v>16</v>
      </c>
      <c r="B10" s="2">
        <v>3</v>
      </c>
      <c r="C10" s="3">
        <v>157.5482565250517</v>
      </c>
      <c r="D10" s="2" t="s">
        <v>17</v>
      </c>
      <c r="E10" s="3">
        <v>2.049198006562494E-5</v>
      </c>
      <c r="F10" s="1"/>
    </row>
    <row r="11" spans="1:6" ht="14.1" customHeight="1" x14ac:dyDescent="0.25">
      <c r="A11" s="2" t="s">
        <v>18</v>
      </c>
      <c r="B11" s="2">
        <v>34</v>
      </c>
      <c r="C11" s="3">
        <v>131718.2127964893</v>
      </c>
      <c r="D11" s="2" t="s">
        <v>10</v>
      </c>
      <c r="E11" s="3">
        <v>1.7132319014118758E-2</v>
      </c>
      <c r="F11" s="1"/>
    </row>
    <row r="12" spans="1:6" ht="14.1" customHeight="1" x14ac:dyDescent="0.25">
      <c r="A12" s="2" t="s">
        <v>19</v>
      </c>
      <c r="B12" s="2">
        <v>23</v>
      </c>
      <c r="C12" s="3">
        <v>195215.00594200089</v>
      </c>
      <c r="D12" s="2" t="s">
        <v>10</v>
      </c>
      <c r="E12" s="3">
        <v>2.5391217259444852E-2</v>
      </c>
      <c r="F12" s="1"/>
    </row>
    <row r="13" spans="1:6" ht="14.1" customHeight="1" x14ac:dyDescent="0.25">
      <c r="A13" s="2" t="s">
        <v>20</v>
      </c>
      <c r="B13" s="2">
        <v>1</v>
      </c>
      <c r="C13" s="3">
        <v>1365.745291533779</v>
      </c>
      <c r="D13" s="2" t="s">
        <v>21</v>
      </c>
      <c r="E13" s="3">
        <v>1.7763970167693441E-4</v>
      </c>
      <c r="F13" s="1"/>
    </row>
    <row r="14" spans="1:6" ht="14.1" customHeight="1" x14ac:dyDescent="0.25">
      <c r="A14" s="2" t="s">
        <v>22</v>
      </c>
      <c r="B14" s="2">
        <v>798</v>
      </c>
      <c r="C14" s="3">
        <v>163420.88756224239</v>
      </c>
      <c r="D14" s="2" t="s">
        <v>10</v>
      </c>
      <c r="E14" s="3">
        <v>2.1255821194693519E-2</v>
      </c>
      <c r="F14" s="1"/>
    </row>
    <row r="15" spans="1:6" ht="14.1" customHeight="1" x14ac:dyDescent="0.25">
      <c r="A15" s="2" t="s">
        <v>23</v>
      </c>
      <c r="B15" s="2">
        <v>407</v>
      </c>
      <c r="C15" s="3">
        <v>649510.46477723354</v>
      </c>
      <c r="D15" s="2" t="s">
        <v>24</v>
      </c>
      <c r="E15" s="3">
        <v>8.4480500071503373E-2</v>
      </c>
      <c r="F15" s="1"/>
    </row>
    <row r="16" spans="1:6" ht="14.1" customHeight="1" x14ac:dyDescent="0.25">
      <c r="A16" s="2" t="s">
        <v>25</v>
      </c>
      <c r="B16" s="2">
        <v>2617</v>
      </c>
      <c r="C16" s="3">
        <v>332291.11267023563</v>
      </c>
      <c r="D16" s="2" t="s">
        <v>26</v>
      </c>
      <c r="E16" s="3">
        <v>4.3220426598247083E-2</v>
      </c>
      <c r="F16" s="1"/>
    </row>
    <row r="17" spans="1:6" ht="14.1" customHeight="1" x14ac:dyDescent="0.25">
      <c r="A17" s="2" t="s">
        <v>27</v>
      </c>
      <c r="B17" s="2">
        <v>583</v>
      </c>
      <c r="C17" s="3">
        <v>6531583.8734540967</v>
      </c>
      <c r="D17" s="2" t="s">
        <v>28</v>
      </c>
      <c r="E17" s="3">
        <v>0.84954977912114205</v>
      </c>
      <c r="F17" s="1"/>
    </row>
    <row r="18" spans="1:6" ht="14.1" customHeight="1" x14ac:dyDescent="0.25">
      <c r="A18" s="2" t="s">
        <v>29</v>
      </c>
      <c r="B18" s="2">
        <v>65</v>
      </c>
      <c r="C18" s="3">
        <v>773304.30707454693</v>
      </c>
      <c r="D18" s="2" t="s">
        <v>30</v>
      </c>
      <c r="E18" s="3">
        <v>0.10058211239369549</v>
      </c>
      <c r="F18" s="1"/>
    </row>
    <row r="19" spans="1:6" ht="14.1" customHeight="1" x14ac:dyDescent="0.25">
      <c r="A19" s="2" t="s">
        <v>31</v>
      </c>
      <c r="B19" s="2">
        <v>2</v>
      </c>
      <c r="C19" s="3">
        <v>1244.9565703600799</v>
      </c>
      <c r="D19" s="2" t="s">
        <v>32</v>
      </c>
      <c r="E19" s="3">
        <v>1.6192895932384349E-4</v>
      </c>
      <c r="F19" s="1"/>
    </row>
    <row r="20" spans="1:6" ht="14.1" customHeight="1" x14ac:dyDescent="0.25">
      <c r="A20" s="2" t="s">
        <v>33</v>
      </c>
      <c r="B20" s="2">
        <v>88</v>
      </c>
      <c r="C20" s="3">
        <v>60795.74691235424</v>
      </c>
      <c r="D20" s="2" t="s">
        <v>10</v>
      </c>
      <c r="E20" s="3">
        <v>7.9075786764079108E-3</v>
      </c>
      <c r="F20" s="1"/>
    </row>
    <row r="21" spans="1:6" ht="14.1" customHeight="1" x14ac:dyDescent="0.25">
      <c r="A21" s="2" t="s">
        <v>34</v>
      </c>
      <c r="B21" s="2">
        <v>92</v>
      </c>
      <c r="C21" s="3">
        <v>66787.758159353572</v>
      </c>
      <c r="D21" s="2" t="s">
        <v>35</v>
      </c>
      <c r="E21" s="3">
        <v>8.6869473456320373E-3</v>
      </c>
      <c r="F21" s="1"/>
    </row>
    <row r="22" spans="1:6" ht="14.1" customHeight="1" x14ac:dyDescent="0.25">
      <c r="A22" s="2" t="s">
        <v>36</v>
      </c>
      <c r="B22" s="2">
        <v>21</v>
      </c>
      <c r="C22" s="3">
        <v>43694.863452359139</v>
      </c>
      <c r="D22" s="2" t="s">
        <v>37</v>
      </c>
      <c r="E22" s="3">
        <v>5.6833016790228397E-3</v>
      </c>
      <c r="F22" s="1"/>
    </row>
    <row r="23" spans="1:6" ht="14.1" customHeight="1" x14ac:dyDescent="0.25">
      <c r="A23" s="2" t="s">
        <v>38</v>
      </c>
      <c r="B23" s="2">
        <v>1583</v>
      </c>
      <c r="C23" s="3">
        <v>1015726.442506209</v>
      </c>
      <c r="D23" s="2" t="s">
        <v>39</v>
      </c>
      <c r="E23" s="3">
        <v>0.13211346460476819</v>
      </c>
      <c r="F23" s="1"/>
    </row>
    <row r="24" spans="1:6" ht="14.1" customHeight="1" x14ac:dyDescent="0.25">
      <c r="A24" s="2" t="s">
        <v>40</v>
      </c>
      <c r="B24" s="2">
        <v>17</v>
      </c>
      <c r="C24" s="3">
        <v>52800.30952314959</v>
      </c>
      <c r="D24" s="2" t="s">
        <v>41</v>
      </c>
      <c r="E24" s="3">
        <v>6.8676284591899783E-3</v>
      </c>
      <c r="F24" s="1"/>
    </row>
    <row r="25" spans="1:6" ht="14.1" customHeight="1" x14ac:dyDescent="0.25">
      <c r="A25" s="2" t="s">
        <v>42</v>
      </c>
      <c r="B25" s="2">
        <v>31</v>
      </c>
      <c r="C25" s="3">
        <v>16522.08925819357</v>
      </c>
      <c r="D25" s="2" t="s">
        <v>43</v>
      </c>
      <c r="E25" s="3">
        <v>2.1489944172599761E-3</v>
      </c>
      <c r="F25" s="1"/>
    </row>
    <row r="26" spans="1:6" ht="14.1" customHeight="1" x14ac:dyDescent="0.25">
      <c r="A26" s="2" t="s">
        <v>44</v>
      </c>
      <c r="B26" s="2">
        <v>4</v>
      </c>
      <c r="C26" s="3">
        <v>7780.8113081487318</v>
      </c>
      <c r="D26" s="2" t="s">
        <v>21</v>
      </c>
      <c r="E26" s="3">
        <v>1.012034241049312E-3</v>
      </c>
      <c r="F26" s="1"/>
    </row>
    <row r="27" spans="1:6" ht="14.1" customHeight="1" x14ac:dyDescent="0.25">
      <c r="A27" s="2" t="s">
        <v>45</v>
      </c>
      <c r="B27" s="2">
        <v>1</v>
      </c>
      <c r="C27" s="3">
        <v>1605.3984095041501</v>
      </c>
      <c r="D27" s="2" t="s">
        <v>21</v>
      </c>
      <c r="E27" s="3">
        <v>2.0881089344022011E-4</v>
      </c>
      <c r="F27" s="1"/>
    </row>
    <row r="28" spans="1:6" ht="14.1" customHeight="1" x14ac:dyDescent="0.25">
      <c r="A28" s="2" t="s">
        <v>46</v>
      </c>
      <c r="B28" s="2">
        <v>81</v>
      </c>
      <c r="C28" s="3">
        <v>84097726.264964432</v>
      </c>
      <c r="D28" s="2" t="s">
        <v>47</v>
      </c>
      <c r="E28" s="3">
        <v>10.93841955599177</v>
      </c>
      <c r="F28" s="1"/>
    </row>
    <row r="29" spans="1:6" ht="14.1" customHeight="1" x14ac:dyDescent="0.25">
      <c r="A29" s="2" t="s">
        <v>48</v>
      </c>
      <c r="B29" s="2">
        <v>4</v>
      </c>
      <c r="C29" s="3">
        <v>5328.4708775196668</v>
      </c>
      <c r="D29" s="2" t="s">
        <v>10</v>
      </c>
      <c r="E29" s="3">
        <v>6.9306332809232734E-4</v>
      </c>
      <c r="F29" s="1"/>
    </row>
    <row r="30" spans="1:6" ht="14.1" customHeight="1" x14ac:dyDescent="0.25">
      <c r="A30" s="2" t="s">
        <v>49</v>
      </c>
      <c r="B30" s="2">
        <v>6</v>
      </c>
      <c r="C30" s="3">
        <v>3598.4761928128269</v>
      </c>
      <c r="D30" s="2" t="s">
        <v>7</v>
      </c>
      <c r="E30" s="3">
        <v>4.680464515202111E-4</v>
      </c>
      <c r="F30" s="1"/>
    </row>
    <row r="31" spans="1:6" ht="14.1" customHeight="1" x14ac:dyDescent="0.25">
      <c r="A31" s="2" t="s">
        <v>53</v>
      </c>
      <c r="B31" s="2">
        <v>703</v>
      </c>
      <c r="C31" s="3">
        <v>35171930.473455071</v>
      </c>
      <c r="D31" s="2" t="s">
        <v>54</v>
      </c>
      <c r="E31" s="3">
        <v>4.5747411874214086</v>
      </c>
      <c r="F31" s="1"/>
    </row>
    <row r="32" spans="1:6" ht="14.1" customHeight="1" x14ac:dyDescent="0.25">
      <c r="A32" s="2" t="s">
        <v>55</v>
      </c>
      <c r="B32" s="2">
        <v>7</v>
      </c>
      <c r="C32" s="3">
        <v>2059629.1111577321</v>
      </c>
      <c r="D32" s="2" t="s">
        <v>56</v>
      </c>
      <c r="E32" s="3">
        <v>0.26789175341787369</v>
      </c>
      <c r="F32" s="1"/>
    </row>
    <row r="33" spans="1:6" ht="14.1" customHeight="1" x14ac:dyDescent="0.25">
      <c r="A33" s="2" t="s">
        <v>57</v>
      </c>
      <c r="B33" s="2">
        <v>9</v>
      </c>
      <c r="C33" s="3">
        <v>52621.752221548617</v>
      </c>
      <c r="D33" s="2" t="s">
        <v>32</v>
      </c>
      <c r="E33" s="3">
        <v>6.8444038755247384E-3</v>
      </c>
      <c r="F33" s="1"/>
    </row>
    <row r="34" spans="1:6" ht="14.1" customHeight="1" x14ac:dyDescent="0.25">
      <c r="A34" s="2" t="s">
        <v>58</v>
      </c>
      <c r="B34" s="2">
        <v>32</v>
      </c>
      <c r="C34" s="3">
        <v>2331859.5099133002</v>
      </c>
      <c r="D34" s="2" t="s">
        <v>32</v>
      </c>
      <c r="E34" s="3">
        <v>0.30330020558103171</v>
      </c>
      <c r="F34" s="1"/>
    </row>
    <row r="35" spans="1:6" ht="14.1" customHeight="1" x14ac:dyDescent="0.25">
      <c r="A35" s="2" t="s">
        <v>59</v>
      </c>
      <c r="B35" s="2">
        <v>1</v>
      </c>
      <c r="C35" s="3">
        <v>1168.8643827880201</v>
      </c>
      <c r="D35" s="2" t="s">
        <v>41</v>
      </c>
      <c r="E35" s="3">
        <v>1.5203180384101839E-4</v>
      </c>
      <c r="F35" s="1"/>
    </row>
    <row r="36" spans="1:6" ht="14.1" customHeight="1" x14ac:dyDescent="0.25">
      <c r="A36" s="2" t="s">
        <v>60</v>
      </c>
      <c r="B36" s="2">
        <v>22</v>
      </c>
      <c r="C36" s="3">
        <v>52616.26587671804</v>
      </c>
      <c r="D36" s="2" t="s">
        <v>41</v>
      </c>
      <c r="E36" s="3">
        <v>6.8436902778538956E-3</v>
      </c>
      <c r="F36" s="1"/>
    </row>
    <row r="37" spans="1:6" ht="14.1" customHeight="1" x14ac:dyDescent="0.25">
      <c r="A37" s="2" t="s">
        <v>61</v>
      </c>
      <c r="B37" s="2">
        <v>2503</v>
      </c>
      <c r="C37" s="3">
        <v>327221.13437982649</v>
      </c>
      <c r="D37" s="2" t="s">
        <v>41</v>
      </c>
      <c r="E37" s="3">
        <v>4.256098487320524E-2</v>
      </c>
      <c r="F37" s="1"/>
    </row>
    <row r="38" spans="1:6" ht="14.1" customHeight="1" x14ac:dyDescent="0.25">
      <c r="A38" s="2" t="s">
        <v>62</v>
      </c>
      <c r="B38" s="2">
        <v>259</v>
      </c>
      <c r="C38" s="3">
        <v>130420.9269086148</v>
      </c>
      <c r="D38" s="2" t="s">
        <v>41</v>
      </c>
      <c r="E38" s="3">
        <v>1.696358368730469E-2</v>
      </c>
      <c r="F38" s="1"/>
    </row>
    <row r="39" spans="1:6" ht="14.1" customHeight="1" x14ac:dyDescent="0.25">
      <c r="A39" s="2" t="s">
        <v>63</v>
      </c>
      <c r="B39" s="2">
        <v>10</v>
      </c>
      <c r="C39" s="3">
        <v>23661.286726576989</v>
      </c>
      <c r="D39" s="2" t="s">
        <v>21</v>
      </c>
      <c r="E39" s="3">
        <v>3.07757525613083E-3</v>
      </c>
      <c r="F39" s="1"/>
    </row>
    <row r="40" spans="1:6" ht="14.1" customHeight="1" x14ac:dyDescent="0.25">
      <c r="A40" s="2" t="s">
        <v>64</v>
      </c>
      <c r="B40" s="2">
        <v>25</v>
      </c>
      <c r="C40" s="3">
        <v>67334.755188954048</v>
      </c>
      <c r="D40" s="2" t="s">
        <v>65</v>
      </c>
      <c r="E40" s="3">
        <v>8.7580941324880788E-3</v>
      </c>
      <c r="F40" s="1"/>
    </row>
    <row r="41" spans="1:6" ht="14.1" customHeight="1" x14ac:dyDescent="0.25">
      <c r="A41" s="2" t="s">
        <v>66</v>
      </c>
      <c r="B41" s="2">
        <v>561</v>
      </c>
      <c r="C41" s="3">
        <v>4375857.1716625839</v>
      </c>
      <c r="D41" s="2" t="s">
        <v>32</v>
      </c>
      <c r="E41" s="3">
        <v>0.56915880828851462</v>
      </c>
      <c r="F41" s="1"/>
    </row>
    <row r="42" spans="1:6" ht="14.1" customHeight="1" x14ac:dyDescent="0.25">
      <c r="A42" s="2" t="s">
        <v>67</v>
      </c>
      <c r="B42" s="2">
        <v>1791</v>
      </c>
      <c r="C42" s="3">
        <v>11096477.028926119</v>
      </c>
      <c r="D42" s="2" t="s">
        <v>68</v>
      </c>
      <c r="E42" s="3">
        <v>1.443296111875805</v>
      </c>
      <c r="F42" s="1"/>
    </row>
    <row r="43" spans="1:6" ht="14.1" customHeight="1" x14ac:dyDescent="0.25">
      <c r="A43" s="2" t="s">
        <v>50</v>
      </c>
      <c r="B43" s="2">
        <v>133</v>
      </c>
      <c r="C43" s="3">
        <v>26846.758552561849</v>
      </c>
      <c r="D43" s="2" t="s">
        <v>10</v>
      </c>
      <c r="E43" s="3">
        <v>3.4919030728738361E-3</v>
      </c>
      <c r="F43" s="1"/>
    </row>
    <row r="44" spans="1:6" ht="14.1" customHeight="1" x14ac:dyDescent="0.25">
      <c r="A44" s="2" t="s">
        <v>51</v>
      </c>
      <c r="B44" s="2">
        <v>74</v>
      </c>
      <c r="C44" s="3">
        <v>5230314.9984452408</v>
      </c>
      <c r="D44" s="2" t="s">
        <v>52</v>
      </c>
      <c r="E44" s="3">
        <v>0.68029639330243208</v>
      </c>
      <c r="F44" s="1"/>
    </row>
    <row r="45" spans="1:6" ht="14.1" customHeight="1" x14ac:dyDescent="0.25">
      <c r="A45" s="2" t="s">
        <v>69</v>
      </c>
      <c r="B45" s="2">
        <v>3</v>
      </c>
      <c r="C45" s="3">
        <v>2306.9313597256901</v>
      </c>
      <c r="D45" s="2" t="s">
        <v>70</v>
      </c>
      <c r="E45" s="3">
        <v>3.0005785198103369E-4</v>
      </c>
      <c r="F45" s="1"/>
    </row>
    <row r="46" spans="1:6" ht="14.1" customHeight="1" x14ac:dyDescent="0.25">
      <c r="A46" s="2" t="s">
        <v>71</v>
      </c>
      <c r="B46" s="2">
        <v>5</v>
      </c>
      <c r="C46" s="3">
        <v>192364.5035436966</v>
      </c>
      <c r="D46" s="2" t="s">
        <v>72</v>
      </c>
      <c r="E46" s="3">
        <v>2.5020458232265261E-2</v>
      </c>
      <c r="F46" s="1"/>
    </row>
    <row r="47" spans="1:6" ht="14.1" customHeight="1" x14ac:dyDescent="0.25">
      <c r="A47" s="2" t="s">
        <v>73</v>
      </c>
      <c r="B47" s="2">
        <v>1</v>
      </c>
      <c r="C47" s="3">
        <v>807.25023597995403</v>
      </c>
      <c r="D47" s="2" t="s">
        <v>21</v>
      </c>
      <c r="E47" s="3">
        <v>1.049973900602441E-4</v>
      </c>
      <c r="F47" s="1"/>
    </row>
    <row r="48" spans="1:6" ht="14.1" customHeight="1" x14ac:dyDescent="0.25">
      <c r="A48" s="2" t="s">
        <v>74</v>
      </c>
      <c r="B48" s="2">
        <v>1</v>
      </c>
      <c r="C48" s="3">
        <v>1313.85823153107</v>
      </c>
      <c r="D48" s="2" t="s">
        <v>10</v>
      </c>
      <c r="E48" s="3">
        <v>1.7089085771831961E-4</v>
      </c>
      <c r="F48" s="1"/>
    </row>
    <row r="49" spans="1:6" ht="14.1" customHeight="1" x14ac:dyDescent="0.25">
      <c r="A49" s="2" t="s">
        <v>75</v>
      </c>
      <c r="B49" s="2">
        <v>92</v>
      </c>
      <c r="C49" s="3">
        <v>3466552.819081258</v>
      </c>
      <c r="D49" s="2" t="s">
        <v>76</v>
      </c>
      <c r="E49" s="3">
        <v>0.45088744764213617</v>
      </c>
      <c r="F49" s="1"/>
    </row>
    <row r="50" spans="1:6" ht="14.1" customHeight="1" x14ac:dyDescent="0.25">
      <c r="A50" s="2" t="s">
        <v>77</v>
      </c>
      <c r="B50" s="2">
        <v>11</v>
      </c>
      <c r="C50" s="3">
        <v>702.76096162402519</v>
      </c>
      <c r="D50" s="2" t="s">
        <v>65</v>
      </c>
      <c r="E50" s="3">
        <v>9.140668347674826E-5</v>
      </c>
      <c r="F50" s="1"/>
    </row>
    <row r="51" spans="1:6" ht="14.1" customHeight="1" x14ac:dyDescent="0.25">
      <c r="A51" s="2" t="s">
        <v>78</v>
      </c>
      <c r="B51" s="2">
        <v>6</v>
      </c>
      <c r="C51" s="3">
        <v>215056.30159674579</v>
      </c>
      <c r="D51" s="2" t="s">
        <v>79</v>
      </c>
      <c r="E51" s="3">
        <v>2.797193407600037E-2</v>
      </c>
      <c r="F51" s="1"/>
    </row>
    <row r="52" spans="1:6" ht="14.1" customHeight="1" x14ac:dyDescent="0.25">
      <c r="A52" s="2" t="s">
        <v>80</v>
      </c>
      <c r="B52" s="2">
        <v>13</v>
      </c>
      <c r="C52" s="3">
        <v>1640.2069251585231</v>
      </c>
      <c r="D52" s="2" t="s">
        <v>39</v>
      </c>
      <c r="E52" s="3">
        <v>2.1333836600409439E-4</v>
      </c>
      <c r="F52" s="1"/>
    </row>
    <row r="53" spans="1:6" ht="14.1" customHeight="1" x14ac:dyDescent="0.25">
      <c r="A53" s="2" t="s">
        <v>81</v>
      </c>
      <c r="B53" s="2">
        <v>56</v>
      </c>
      <c r="C53" s="3">
        <v>23032.23018973774</v>
      </c>
      <c r="D53" s="2" t="s">
        <v>41</v>
      </c>
      <c r="E53" s="3">
        <v>2.9957551567061751E-3</v>
      </c>
      <c r="F53" s="1"/>
    </row>
    <row r="54" spans="1:6" ht="14.1" customHeight="1" x14ac:dyDescent="0.25">
      <c r="A54" s="2" t="s">
        <v>82</v>
      </c>
      <c r="B54" s="2">
        <v>21</v>
      </c>
      <c r="C54" s="3">
        <v>21253.66160616824</v>
      </c>
      <c r="D54" s="2" t="s">
        <v>10</v>
      </c>
      <c r="E54" s="3">
        <v>2.764420372280568E-3</v>
      </c>
      <c r="F54" s="1"/>
    </row>
    <row r="55" spans="1:6" ht="14.1" customHeight="1" x14ac:dyDescent="0.25">
      <c r="A55" s="2" t="s">
        <v>83</v>
      </c>
      <c r="B55" s="2">
        <v>153</v>
      </c>
      <c r="C55" s="3">
        <v>6627084.1773066958</v>
      </c>
      <c r="D55" s="2" t="s">
        <v>84</v>
      </c>
      <c r="E55" s="3">
        <v>0.8619713086637264</v>
      </c>
      <c r="F55" s="1"/>
    </row>
    <row r="56" spans="1:6" ht="14.1" customHeight="1" x14ac:dyDescent="0.25">
      <c r="A56" s="2" t="s">
        <v>85</v>
      </c>
      <c r="B56" s="2">
        <v>215</v>
      </c>
      <c r="C56" s="3">
        <v>9707.2616091439068</v>
      </c>
      <c r="D56" s="2" t="s">
        <v>10</v>
      </c>
      <c r="E56" s="3">
        <v>1.262603698535711E-3</v>
      </c>
      <c r="F56" s="1"/>
    </row>
    <row r="57" spans="1:6" ht="14.1" customHeight="1" x14ac:dyDescent="0.25">
      <c r="A57" s="2" t="s">
        <v>87</v>
      </c>
      <c r="B57" s="2">
        <v>2</v>
      </c>
      <c r="C57" s="3">
        <v>17163.11897188297</v>
      </c>
      <c r="D57" s="2" t="s">
        <v>41</v>
      </c>
      <c r="E57" s="3">
        <v>2.232371843352328E-3</v>
      </c>
      <c r="F57" s="1"/>
    </row>
    <row r="58" spans="1:6" ht="14.1" customHeight="1" x14ac:dyDescent="0.25">
      <c r="A58" s="2" t="s">
        <v>86</v>
      </c>
      <c r="B58" s="2">
        <v>17</v>
      </c>
      <c r="C58" s="3">
        <v>110.5902858329741</v>
      </c>
      <c r="D58" s="2" t="s">
        <v>41</v>
      </c>
      <c r="E58" s="3">
        <v>1.4384252690100189E-5</v>
      </c>
      <c r="F58" s="1"/>
    </row>
    <row r="59" spans="1:6" ht="14.1" customHeight="1" x14ac:dyDescent="0.25">
      <c r="A59" s="2" t="s">
        <v>88</v>
      </c>
      <c r="B59" s="2">
        <v>44</v>
      </c>
      <c r="C59" s="3">
        <v>231124.49966871651</v>
      </c>
      <c r="D59" s="2" t="s">
        <v>32</v>
      </c>
      <c r="E59" s="3">
        <v>3.0061891793361582E-2</v>
      </c>
      <c r="F59" s="1"/>
    </row>
    <row r="60" spans="1:6" ht="14.1" customHeight="1" x14ac:dyDescent="0.25">
      <c r="A60" s="2" t="s">
        <v>89</v>
      </c>
      <c r="B60" s="2">
        <v>127</v>
      </c>
      <c r="C60" s="3">
        <v>696849.65408743417</v>
      </c>
      <c r="D60" s="2" t="s">
        <v>10</v>
      </c>
      <c r="E60" s="3">
        <v>9.0637811774367097E-2</v>
      </c>
      <c r="F60" s="1"/>
    </row>
    <row r="61" spans="1:6" ht="14.1" customHeight="1" x14ac:dyDescent="0.25">
      <c r="A61" s="2" t="s">
        <v>90</v>
      </c>
      <c r="B61" s="2">
        <v>26</v>
      </c>
      <c r="C61" s="3">
        <v>153220.1375629023</v>
      </c>
      <c r="D61" s="2" t="s">
        <v>41</v>
      </c>
      <c r="E61" s="3">
        <v>1.992903046878243E-2</v>
      </c>
      <c r="F61" s="1"/>
    </row>
    <row r="62" spans="1:6" ht="14.1" customHeight="1" x14ac:dyDescent="0.25">
      <c r="A62" s="2" t="s">
        <v>91</v>
      </c>
      <c r="B62" s="2">
        <v>66</v>
      </c>
      <c r="C62" s="3">
        <v>52777.649681837102</v>
      </c>
      <c r="D62" s="2" t="s">
        <v>92</v>
      </c>
      <c r="E62" s="3">
        <v>6.864681139894243E-3</v>
      </c>
      <c r="F62" s="1"/>
    </row>
    <row r="63" spans="1:6" ht="14.1" customHeight="1" x14ac:dyDescent="0.25">
      <c r="A63" s="2" t="s">
        <v>93</v>
      </c>
      <c r="B63" s="2">
        <v>3</v>
      </c>
      <c r="C63" s="3">
        <v>160814.240568329</v>
      </c>
      <c r="D63" s="2" t="s">
        <v>41</v>
      </c>
      <c r="E63" s="3">
        <v>2.0916779942092279E-2</v>
      </c>
      <c r="F63" s="1"/>
    </row>
    <row r="64" spans="1:6" ht="14.1" customHeight="1" x14ac:dyDescent="0.25">
      <c r="A64" s="2" t="s">
        <v>94</v>
      </c>
      <c r="B64" s="2">
        <v>14</v>
      </c>
      <c r="C64" s="3">
        <v>1850095.610293966</v>
      </c>
      <c r="D64" s="2" t="s">
        <v>39</v>
      </c>
      <c r="E64" s="3">
        <v>0.24063815875750899</v>
      </c>
      <c r="F64" s="1"/>
    </row>
    <row r="65" spans="1:6" ht="14.1" customHeight="1" x14ac:dyDescent="0.25">
      <c r="A65" s="2" t="s">
        <v>95</v>
      </c>
      <c r="B65" s="2">
        <v>13</v>
      </c>
      <c r="C65" s="3">
        <v>28923.642063687101</v>
      </c>
      <c r="D65" s="2" t="s">
        <v>96</v>
      </c>
      <c r="E65" s="3">
        <v>3.7620390708677991E-3</v>
      </c>
      <c r="F65" s="1"/>
    </row>
    <row r="66" spans="1:6" ht="15.75" thickBot="1" x14ac:dyDescent="0.3">
      <c r="A66" s="4" t="s">
        <v>97</v>
      </c>
      <c r="B66" s="5">
        <v>13903</v>
      </c>
      <c r="C66" s="5">
        <v>169941262.2770924</v>
      </c>
      <c r="D66" s="4" t="s">
        <v>98</v>
      </c>
      <c r="E66" s="28">
        <v>22.103913021440363</v>
      </c>
      <c r="F66" s="1"/>
    </row>
    <row r="67" spans="1:6" x14ac:dyDescent="0.25">
      <c r="A67" s="2" t="s">
        <v>99</v>
      </c>
      <c r="B67" s="21">
        <v>768828858.655707</v>
      </c>
      <c r="C67" s="6"/>
      <c r="D67" s="6"/>
      <c r="E67" s="6"/>
      <c r="F67" s="1"/>
    </row>
    <row r="68" spans="1:6" x14ac:dyDescent="0.25">
      <c r="A68" s="2"/>
      <c r="B68" s="2"/>
      <c r="C68" s="2"/>
      <c r="D68" s="2"/>
      <c r="E68" s="2"/>
      <c r="F68" s="1"/>
    </row>
    <row r="69" spans="1:6" x14ac:dyDescent="0.25">
      <c r="A69" s="7" t="s">
        <v>1219</v>
      </c>
      <c r="B69" s="27">
        <v>14761</v>
      </c>
      <c r="C69" s="27">
        <v>173633412.03980651</v>
      </c>
      <c r="D69" s="8"/>
      <c r="E69" s="8"/>
      <c r="F69" s="1"/>
    </row>
    <row r="70" spans="1:6" x14ac:dyDescent="0.25">
      <c r="A70" s="2"/>
      <c r="B70" s="2"/>
      <c r="C70" s="2"/>
      <c r="D70" s="2"/>
      <c r="E70" s="2"/>
      <c r="F70" s="1"/>
    </row>
    <row r="71" spans="1:6" ht="15.75" thickBot="1" x14ac:dyDescent="0.3">
      <c r="A71" s="2"/>
      <c r="B71" s="2"/>
      <c r="C71" s="2"/>
      <c r="D71" s="2"/>
      <c r="E71" s="2"/>
      <c r="F71" s="1"/>
    </row>
    <row r="72" spans="1:6" ht="25.5" x14ac:dyDescent="0.25">
      <c r="A72" s="29" t="s">
        <v>100</v>
      </c>
      <c r="B72" s="29" t="s">
        <v>101</v>
      </c>
      <c r="C72" s="29" t="s">
        <v>102</v>
      </c>
      <c r="D72" s="29"/>
      <c r="E72" s="29"/>
      <c r="F72" s="1"/>
    </row>
    <row r="73" spans="1:6" ht="14.1" customHeight="1" x14ac:dyDescent="0.25">
      <c r="A73" s="2" t="s">
        <v>8</v>
      </c>
      <c r="B73" s="2">
        <v>6</v>
      </c>
      <c r="C73" s="3">
        <v>6889.7656035000364</v>
      </c>
      <c r="D73" s="2" t="s">
        <v>7</v>
      </c>
      <c r="E73" s="3">
        <v>8.9613774546150804E-4</v>
      </c>
      <c r="F73" s="1"/>
    </row>
    <row r="74" spans="1:6" ht="14.1" customHeight="1" x14ac:dyDescent="0.25">
      <c r="A74" s="2" t="s">
        <v>11</v>
      </c>
      <c r="B74" s="2">
        <v>1</v>
      </c>
      <c r="C74" s="3">
        <v>2131.1869070900998</v>
      </c>
      <c r="D74" s="2" t="s">
        <v>12</v>
      </c>
      <c r="E74" s="3">
        <v>2.7719912983782783E-4</v>
      </c>
      <c r="F74" s="1"/>
    </row>
    <row r="75" spans="1:6" ht="14.1" customHeight="1" x14ac:dyDescent="0.25">
      <c r="A75" s="2" t="s">
        <v>14</v>
      </c>
      <c r="B75" s="2">
        <v>26</v>
      </c>
      <c r="C75" s="3">
        <v>14.5539687937635</v>
      </c>
      <c r="D75" s="2" t="s">
        <v>10</v>
      </c>
      <c r="E75" s="3">
        <v>1.8930050066920679E-6</v>
      </c>
      <c r="F75" s="1"/>
    </row>
    <row r="76" spans="1:6" ht="14.1" customHeight="1" x14ac:dyDescent="0.25">
      <c r="A76" s="2" t="s">
        <v>22</v>
      </c>
      <c r="B76" s="2">
        <v>128</v>
      </c>
      <c r="C76" s="3">
        <v>118680.530243371</v>
      </c>
      <c r="D76" s="2" t="s">
        <v>10</v>
      </c>
      <c r="E76" s="3">
        <v>1.5436534263000521E-2</v>
      </c>
      <c r="F76" s="1"/>
    </row>
    <row r="77" spans="1:6" ht="14.1" customHeight="1" x14ac:dyDescent="0.25">
      <c r="A77" s="2" t="s">
        <v>25</v>
      </c>
      <c r="B77" s="2">
        <v>221</v>
      </c>
      <c r="C77" s="3">
        <v>1406.674493746021</v>
      </c>
      <c r="D77" s="2" t="s">
        <v>1216</v>
      </c>
      <c r="E77" s="3">
        <v>1.82963279445006E-4</v>
      </c>
      <c r="F77" s="1"/>
    </row>
    <row r="78" spans="1:6" ht="14.1" customHeight="1" x14ac:dyDescent="0.25">
      <c r="A78" s="2" t="s">
        <v>27</v>
      </c>
      <c r="B78" s="2">
        <v>28</v>
      </c>
      <c r="C78" s="3">
        <v>10017.84256932294</v>
      </c>
      <c r="D78" s="2" t="s">
        <v>103</v>
      </c>
      <c r="E78" s="3">
        <v>1.3030003299242621E-3</v>
      </c>
      <c r="F78" s="1"/>
    </row>
    <row r="79" spans="1:6" ht="14.1" customHeight="1" x14ac:dyDescent="0.25">
      <c r="A79" s="2" t="s">
        <v>29</v>
      </c>
      <c r="B79" s="2">
        <v>9</v>
      </c>
      <c r="C79" s="3">
        <v>219.0814384273437</v>
      </c>
      <c r="D79" s="2" t="s">
        <v>104</v>
      </c>
      <c r="E79" s="3">
        <v>2.849547540557966E-5</v>
      </c>
      <c r="F79" s="1"/>
    </row>
    <row r="80" spans="1:6" ht="14.1" customHeight="1" x14ac:dyDescent="0.25">
      <c r="A80" s="2" t="s">
        <v>31</v>
      </c>
      <c r="B80" s="2">
        <v>1</v>
      </c>
      <c r="C80" s="3">
        <v>1.00553148235992</v>
      </c>
      <c r="D80" s="2" t="s">
        <v>32</v>
      </c>
      <c r="E80" s="3">
        <v>1.3078742695322261E-7</v>
      </c>
      <c r="F80" s="1"/>
    </row>
    <row r="81" spans="1:6" ht="14.1" customHeight="1" x14ac:dyDescent="0.25">
      <c r="A81" s="2" t="s">
        <v>33</v>
      </c>
      <c r="B81" s="2">
        <v>19</v>
      </c>
      <c r="C81" s="3">
        <v>25.880310030157389</v>
      </c>
      <c r="D81" s="2" t="s">
        <v>10</v>
      </c>
      <c r="E81" s="3">
        <v>3.3661990867277511E-6</v>
      </c>
      <c r="F81" s="1"/>
    </row>
    <row r="82" spans="1:6" ht="14.1" customHeight="1" x14ac:dyDescent="0.25">
      <c r="A82" s="2" t="s">
        <v>34</v>
      </c>
      <c r="B82" s="2">
        <v>5</v>
      </c>
      <c r="C82" s="3">
        <v>3294.0617859509171</v>
      </c>
      <c r="D82" s="2" t="s">
        <v>105</v>
      </c>
      <c r="E82" s="3">
        <v>4.2845189113158882E-4</v>
      </c>
      <c r="F82" s="1"/>
    </row>
    <row r="83" spans="1:6" ht="14.1" customHeight="1" x14ac:dyDescent="0.25">
      <c r="A83" s="2" t="s">
        <v>36</v>
      </c>
      <c r="B83" s="2">
        <v>1</v>
      </c>
      <c r="C83" s="3">
        <v>63.589747581129103</v>
      </c>
      <c r="D83" s="2" t="s">
        <v>39</v>
      </c>
      <c r="E83" s="3">
        <v>8.2709886389851431E-6</v>
      </c>
      <c r="F83" s="1"/>
    </row>
    <row r="84" spans="1:6" ht="14.1" customHeight="1" x14ac:dyDescent="0.25">
      <c r="A84" s="2" t="s">
        <v>38</v>
      </c>
      <c r="B84" s="2">
        <v>35</v>
      </c>
      <c r="C84" s="3">
        <v>106.00106529610861</v>
      </c>
      <c r="D84" s="2" t="s">
        <v>39</v>
      </c>
      <c r="E84" s="3">
        <v>1.3787342144516021E-5</v>
      </c>
      <c r="F84" s="1"/>
    </row>
    <row r="85" spans="1:6" ht="14.1" customHeight="1" x14ac:dyDescent="0.25">
      <c r="A85" s="2" t="s">
        <v>40</v>
      </c>
      <c r="B85" s="2">
        <v>18</v>
      </c>
      <c r="C85" s="3">
        <v>105982.665857791</v>
      </c>
      <c r="D85" s="2" t="s">
        <v>41</v>
      </c>
      <c r="E85" s="3">
        <v>1.3784948967139511E-2</v>
      </c>
      <c r="F85" s="1"/>
    </row>
    <row r="86" spans="1:6" ht="14.1" customHeight="1" x14ac:dyDescent="0.25">
      <c r="A86" s="2" t="s">
        <v>46</v>
      </c>
      <c r="B86" s="2">
        <v>27</v>
      </c>
      <c r="C86" s="3">
        <v>1224180.7609589279</v>
      </c>
      <c r="D86" s="2" t="s">
        <v>1217</v>
      </c>
      <c r="E86" s="3">
        <v>0.1592266922122558</v>
      </c>
      <c r="F86" s="1"/>
    </row>
    <row r="87" spans="1:6" ht="14.1" customHeight="1" x14ac:dyDescent="0.25">
      <c r="A87" s="2" t="s">
        <v>50</v>
      </c>
      <c r="B87" s="2">
        <v>18</v>
      </c>
      <c r="C87" s="3">
        <v>27496.960694031739</v>
      </c>
      <c r="D87" s="2" t="s">
        <v>10</v>
      </c>
      <c r="E87" s="3">
        <v>3.5764735379205811E-3</v>
      </c>
      <c r="F87" s="1"/>
    </row>
    <row r="88" spans="1:6" ht="14.1" customHeight="1" x14ac:dyDescent="0.25">
      <c r="A88" s="2" t="s">
        <v>51</v>
      </c>
      <c r="B88" s="2">
        <v>8</v>
      </c>
      <c r="C88" s="3">
        <v>82523.381707588531</v>
      </c>
      <c r="D88" s="2" t="s">
        <v>106</v>
      </c>
      <c r="E88" s="3">
        <v>1.0733647773696351E-2</v>
      </c>
      <c r="F88" s="1"/>
    </row>
    <row r="89" spans="1:6" ht="14.1" customHeight="1" x14ac:dyDescent="0.25">
      <c r="A89" s="2" t="s">
        <v>53</v>
      </c>
      <c r="B89" s="2">
        <v>7</v>
      </c>
      <c r="C89" s="3">
        <v>1947.7495164439031</v>
      </c>
      <c r="D89" s="2" t="s">
        <v>107</v>
      </c>
      <c r="E89" s="3">
        <v>2.5333980295397609E-4</v>
      </c>
      <c r="F89" s="1"/>
    </row>
    <row r="90" spans="1:6" ht="14.1" customHeight="1" x14ac:dyDescent="0.25">
      <c r="A90" s="2" t="s">
        <v>60</v>
      </c>
      <c r="B90" s="2">
        <v>19</v>
      </c>
      <c r="C90" s="3">
        <v>98751.324999442979</v>
      </c>
      <c r="D90" s="2" t="s">
        <v>41</v>
      </c>
      <c r="E90" s="3">
        <v>1.2844383225661799E-2</v>
      </c>
      <c r="F90" s="1"/>
    </row>
    <row r="91" spans="1:6" ht="14.1" customHeight="1" x14ac:dyDescent="0.25">
      <c r="A91" s="2" t="s">
        <v>61</v>
      </c>
      <c r="B91" s="2">
        <v>38</v>
      </c>
      <c r="C91" s="3">
        <v>1624.7155811188841</v>
      </c>
      <c r="D91" s="2" t="s">
        <v>41</v>
      </c>
      <c r="E91" s="3">
        <v>2.113234385129765E-4</v>
      </c>
      <c r="F91" s="1"/>
    </row>
    <row r="92" spans="1:6" ht="14.1" customHeight="1" x14ac:dyDescent="0.25">
      <c r="A92" s="2" t="s">
        <v>62</v>
      </c>
      <c r="B92" s="2">
        <v>1</v>
      </c>
      <c r="C92" s="3">
        <v>1.16755033751045E-3</v>
      </c>
      <c r="D92" s="2" t="s">
        <v>41</v>
      </c>
      <c r="E92" s="3">
        <v>1.518608886546037E-10</v>
      </c>
      <c r="F92" s="1"/>
    </row>
    <row r="93" spans="1:6" ht="14.1" customHeight="1" x14ac:dyDescent="0.25">
      <c r="A93" s="2" t="s">
        <v>66</v>
      </c>
      <c r="B93" s="2">
        <v>49</v>
      </c>
      <c r="C93" s="3">
        <v>707035.11238712189</v>
      </c>
      <c r="D93" s="2" t="s">
        <v>32</v>
      </c>
      <c r="E93" s="3">
        <v>9.1962613540124916E-2</v>
      </c>
      <c r="F93" s="1"/>
    </row>
    <row r="94" spans="1:6" ht="14.1" customHeight="1" x14ac:dyDescent="0.25">
      <c r="A94" s="2" t="s">
        <v>67</v>
      </c>
      <c r="B94" s="2">
        <v>2</v>
      </c>
      <c r="C94" s="3">
        <v>0.82793725293150267</v>
      </c>
      <c r="D94" s="2" t="s">
        <v>1218</v>
      </c>
      <c r="E94" s="3">
        <v>1.076881081191962E-7</v>
      </c>
      <c r="F94" s="1"/>
    </row>
    <row r="95" spans="1:6" ht="14.1" customHeight="1" x14ac:dyDescent="0.25">
      <c r="A95" s="2" t="s">
        <v>75</v>
      </c>
      <c r="B95" s="2">
        <v>11</v>
      </c>
      <c r="C95" s="3">
        <v>237233.39021688409</v>
      </c>
      <c r="D95" s="2" t="s">
        <v>108</v>
      </c>
      <c r="E95" s="3">
        <v>3.0856462714660408E-2</v>
      </c>
      <c r="F95" s="1"/>
    </row>
    <row r="96" spans="1:6" ht="14.1" customHeight="1" x14ac:dyDescent="0.25">
      <c r="A96" s="2" t="s">
        <v>78</v>
      </c>
      <c r="B96" s="2">
        <v>1</v>
      </c>
      <c r="C96" s="3">
        <v>5.4629292220990902E-2</v>
      </c>
      <c r="D96" s="2" t="s">
        <v>21</v>
      </c>
      <c r="E96" s="3">
        <v>7.1055205045302426E-9</v>
      </c>
      <c r="F96" s="1"/>
    </row>
    <row r="97" spans="1:6" ht="14.1" customHeight="1" x14ac:dyDescent="0.25">
      <c r="A97" s="2" t="s">
        <v>80</v>
      </c>
      <c r="B97" s="2">
        <v>1</v>
      </c>
      <c r="C97" s="3">
        <v>331.85502754707107</v>
      </c>
      <c r="D97" s="2" t="s">
        <v>39</v>
      </c>
      <c r="E97" s="3">
        <v>4.316370589661634E-5</v>
      </c>
      <c r="F97" s="1"/>
    </row>
    <row r="98" spans="1:6" ht="14.1" customHeight="1" x14ac:dyDescent="0.25">
      <c r="A98" s="2" t="s">
        <v>81</v>
      </c>
      <c r="B98" s="2">
        <v>104</v>
      </c>
      <c r="C98" s="3">
        <v>89595.585062336249</v>
      </c>
      <c r="D98" s="2" t="s">
        <v>41</v>
      </c>
      <c r="E98" s="3">
        <v>1.1653514824986069E-2</v>
      </c>
      <c r="F98" s="1"/>
    </row>
    <row r="99" spans="1:6" ht="14.1" customHeight="1" x14ac:dyDescent="0.25">
      <c r="A99" s="2" t="s">
        <v>83</v>
      </c>
      <c r="B99" s="2">
        <v>3</v>
      </c>
      <c r="C99" s="3">
        <v>262.68005233351022</v>
      </c>
      <c r="D99" s="2" t="s">
        <v>39</v>
      </c>
      <c r="E99" s="3">
        <v>3.4166258102638449E-5</v>
      </c>
      <c r="F99" s="1"/>
    </row>
    <row r="100" spans="1:6" ht="14.1" customHeight="1" x14ac:dyDescent="0.25">
      <c r="A100" s="2" t="s">
        <v>85</v>
      </c>
      <c r="B100" s="2">
        <v>11</v>
      </c>
      <c r="C100" s="3">
        <v>0.22864857332279689</v>
      </c>
      <c r="D100" s="2" t="s">
        <v>10</v>
      </c>
      <c r="E100" s="3">
        <v>2.9739853108557271E-8</v>
      </c>
      <c r="F100" s="1"/>
    </row>
    <row r="101" spans="1:6" ht="14.1" customHeight="1" x14ac:dyDescent="0.25">
      <c r="A101" s="2" t="s">
        <v>86</v>
      </c>
      <c r="B101" s="2">
        <v>22</v>
      </c>
      <c r="C101" s="3">
        <v>280796.48675296362</v>
      </c>
      <c r="D101" s="2" t="s">
        <v>41</v>
      </c>
      <c r="E101" s="3">
        <v>3.6522625739906507E-2</v>
      </c>
      <c r="F101" s="1"/>
    </row>
    <row r="102" spans="1:6" ht="14.1" customHeight="1" x14ac:dyDescent="0.25">
      <c r="A102" s="2" t="s">
        <v>87</v>
      </c>
      <c r="B102" s="2">
        <v>2</v>
      </c>
      <c r="C102" s="3">
        <v>4919.5918383605494</v>
      </c>
      <c r="D102" s="2" t="s">
        <v>41</v>
      </c>
      <c r="E102" s="3">
        <v>6.3988126626247639E-4</v>
      </c>
      <c r="F102" s="1"/>
    </row>
    <row r="103" spans="1:6" ht="14.1" customHeight="1" x14ac:dyDescent="0.25">
      <c r="A103" s="2" t="s">
        <v>88</v>
      </c>
      <c r="B103" s="2">
        <v>1</v>
      </c>
      <c r="C103" s="3">
        <v>90.315884810396298</v>
      </c>
      <c r="D103" s="2" t="s">
        <v>32</v>
      </c>
      <c r="E103" s="3">
        <v>1.174720274260624E-5</v>
      </c>
      <c r="F103" s="1"/>
    </row>
    <row r="104" spans="1:6" ht="14.1" customHeight="1" x14ac:dyDescent="0.25">
      <c r="A104" s="2" t="s">
        <v>89</v>
      </c>
      <c r="B104" s="2">
        <v>4</v>
      </c>
      <c r="C104" s="3">
        <v>532.7708316466593</v>
      </c>
      <c r="D104" s="2" t="s">
        <v>10</v>
      </c>
      <c r="E104" s="3">
        <v>6.9296414333304749E-5</v>
      </c>
      <c r="F104" s="1"/>
    </row>
    <row r="105" spans="1:6" ht="14.1" customHeight="1" x14ac:dyDescent="0.25">
      <c r="A105" s="2" t="s">
        <v>90</v>
      </c>
      <c r="B105" s="2">
        <v>10</v>
      </c>
      <c r="C105" s="3">
        <v>4822.8733394760729</v>
      </c>
      <c r="D105" s="2" t="s">
        <v>41</v>
      </c>
      <c r="E105" s="3">
        <v>6.2730128857924061E-4</v>
      </c>
      <c r="F105" s="1"/>
    </row>
    <row r="106" spans="1:6" ht="14.1" customHeight="1" x14ac:dyDescent="0.25">
      <c r="A106" s="2" t="s">
        <v>93</v>
      </c>
      <c r="B106" s="2">
        <v>2</v>
      </c>
      <c r="C106" s="3">
        <v>39859.784221592578</v>
      </c>
      <c r="D106" s="2" t="s">
        <v>41</v>
      </c>
      <c r="E106" s="3">
        <v>5.1844807534198682E-3</v>
      </c>
      <c r="F106" s="1"/>
    </row>
    <row r="107" spans="1:6" ht="14.1" customHeight="1" x14ac:dyDescent="0.25">
      <c r="A107" s="2" t="s">
        <v>95</v>
      </c>
      <c r="B107" s="2">
        <v>19</v>
      </c>
      <c r="C107" s="3">
        <v>641310.47173643974</v>
      </c>
      <c r="D107" s="2" t="s">
        <v>41</v>
      </c>
      <c r="E107" s="3">
        <v>8.3413943718317132E-2</v>
      </c>
      <c r="F107" s="1"/>
    </row>
    <row r="108" spans="1:6" ht="15.75" thickBot="1" x14ac:dyDescent="0.3">
      <c r="A108" s="32" t="s">
        <v>109</v>
      </c>
      <c r="B108" s="31">
        <v>858</v>
      </c>
      <c r="C108" s="31">
        <v>3692149.7627141178</v>
      </c>
      <c r="D108" s="4" t="s">
        <v>98</v>
      </c>
      <c r="E108" s="30">
        <v>0.48023038150732555</v>
      </c>
      <c r="F108" s="1"/>
    </row>
    <row r="111" spans="1:6" x14ac:dyDescent="0.25">
      <c r="A111" s="39" t="s">
        <v>110</v>
      </c>
      <c r="B111" s="39"/>
      <c r="C111" s="39"/>
      <c r="D111" s="39"/>
      <c r="E111" s="39"/>
    </row>
    <row r="112" spans="1:6" ht="29.25" customHeight="1" x14ac:dyDescent="0.25">
      <c r="A112" s="40" t="s">
        <v>111</v>
      </c>
      <c r="B112" s="40"/>
      <c r="C112" s="40"/>
      <c r="D112" s="40"/>
      <c r="E112" s="40"/>
    </row>
    <row r="113" spans="1:6" ht="30" customHeight="1" x14ac:dyDescent="0.25">
      <c r="A113" s="40" t="s">
        <v>112</v>
      </c>
      <c r="B113" s="40"/>
      <c r="C113" s="40"/>
      <c r="D113" s="40"/>
      <c r="E113" s="40"/>
    </row>
    <row r="114" spans="1:6" ht="31.5" customHeight="1" x14ac:dyDescent="0.25">
      <c r="A114" s="42" t="s">
        <v>1207</v>
      </c>
      <c r="B114" s="42"/>
      <c r="C114" s="42"/>
      <c r="D114" s="42"/>
      <c r="E114" s="42"/>
      <c r="F114" s="13"/>
    </row>
    <row r="115" spans="1:6" ht="31.5" customHeight="1" x14ac:dyDescent="0.25">
      <c r="A115" s="14"/>
      <c r="B115" s="14"/>
      <c r="C115" s="14"/>
      <c r="D115" s="15"/>
      <c r="E115" s="14"/>
      <c r="F115" s="13"/>
    </row>
    <row r="116" spans="1:6" ht="27" customHeight="1" x14ac:dyDescent="0.25">
      <c r="A116" s="41" t="s">
        <v>1208</v>
      </c>
      <c r="B116" s="41"/>
      <c r="C116" s="41"/>
      <c r="D116" s="41"/>
      <c r="E116" s="41"/>
      <c r="F116" s="41"/>
    </row>
    <row r="117" spans="1:6" ht="34.5" customHeight="1" x14ac:dyDescent="0.25">
      <c r="A117" s="41" t="s">
        <v>113</v>
      </c>
      <c r="B117" s="41"/>
      <c r="C117" s="41"/>
      <c r="D117" s="41"/>
      <c r="E117" s="41"/>
      <c r="F117" s="41"/>
    </row>
  </sheetData>
  <mergeCells count="7">
    <mergeCell ref="A1:E1"/>
    <mergeCell ref="A111:E111"/>
    <mergeCell ref="A112:E112"/>
    <mergeCell ref="A113:E113"/>
    <mergeCell ref="A117:F117"/>
    <mergeCell ref="A114:E114"/>
    <mergeCell ref="A116:F1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election activeCell="K14" sqref="K14"/>
    </sheetView>
  </sheetViews>
  <sheetFormatPr defaultRowHeight="15" x14ac:dyDescent="0.25"/>
  <cols>
    <col min="1" max="1" width="12.7109375" customWidth="1"/>
    <col min="2" max="2" width="20.7109375" customWidth="1"/>
    <col min="3" max="3" width="10.7109375" customWidth="1"/>
    <col min="4" max="5" width="20.7109375" customWidth="1"/>
    <col min="6" max="6" width="30.42578125" customWidth="1"/>
    <col min="7" max="7" width="20.7109375" customWidth="1"/>
  </cols>
  <sheetData>
    <row r="1" spans="1:8" s="25" customFormat="1" ht="22.9" customHeight="1" x14ac:dyDescent="0.25">
      <c r="A1" s="38" t="s">
        <v>114</v>
      </c>
      <c r="B1" s="38"/>
      <c r="C1" s="38"/>
      <c r="D1" s="38"/>
      <c r="E1" s="38"/>
      <c r="F1" s="38"/>
      <c r="G1" s="38"/>
    </row>
    <row r="2" spans="1:8" s="25" customFormat="1" ht="25.5" x14ac:dyDescent="0.25">
      <c r="A2" s="26" t="s">
        <v>115</v>
      </c>
      <c r="B2" s="26" t="s">
        <v>116</v>
      </c>
      <c r="C2" s="26" t="s">
        <v>2</v>
      </c>
      <c r="D2" s="26" t="s">
        <v>117</v>
      </c>
      <c r="E2" s="26" t="s">
        <v>118</v>
      </c>
      <c r="F2" s="26" t="s">
        <v>119</v>
      </c>
      <c r="G2" s="26" t="s">
        <v>120</v>
      </c>
      <c r="H2" s="24"/>
    </row>
    <row r="3" spans="1:8" ht="14.1" customHeight="1" x14ac:dyDescent="0.25">
      <c r="A3" s="2" t="s">
        <v>121</v>
      </c>
      <c r="B3" s="9">
        <v>235814.853081598</v>
      </c>
      <c r="C3" s="9">
        <v>51</v>
      </c>
      <c r="D3" s="9">
        <v>131903.6442161171</v>
      </c>
      <c r="E3" s="9">
        <v>2586.345947265625</v>
      </c>
      <c r="F3" s="3">
        <v>55.935256958007813</v>
      </c>
      <c r="G3" s="3">
        <v>7.761719822883606E-2</v>
      </c>
      <c r="H3" s="1"/>
    </row>
    <row r="4" spans="1:8" ht="14.1" customHeight="1" x14ac:dyDescent="0.25">
      <c r="A4" s="2" t="s">
        <v>12</v>
      </c>
      <c r="B4" s="2" t="s">
        <v>122</v>
      </c>
      <c r="C4" s="9">
        <v>19</v>
      </c>
      <c r="D4" s="9">
        <v>50312.781749716203</v>
      </c>
      <c r="E4" s="9">
        <v>2648.041259765625</v>
      </c>
      <c r="F4" s="2" t="s">
        <v>122</v>
      </c>
      <c r="G4" s="3">
        <v>2.960598282516003E-2</v>
      </c>
      <c r="H4" s="1"/>
    </row>
    <row r="5" spans="1:8" ht="14.1" customHeight="1" x14ac:dyDescent="0.25">
      <c r="A5" s="2" t="s">
        <v>123</v>
      </c>
      <c r="B5" s="9">
        <v>6657.1275457551401</v>
      </c>
      <c r="C5" s="9">
        <v>2</v>
      </c>
      <c r="D5" s="9">
        <v>5597.4897063475864</v>
      </c>
      <c r="E5" s="9">
        <v>2798.744873046875</v>
      </c>
      <c r="F5" s="3">
        <v>84.082656860351563</v>
      </c>
      <c r="G5" s="3">
        <v>3.2937789801508188E-3</v>
      </c>
      <c r="H5" s="1"/>
    </row>
    <row r="6" spans="1:8" ht="14.1" customHeight="1" x14ac:dyDescent="0.25">
      <c r="A6" s="2" t="s">
        <v>10</v>
      </c>
      <c r="B6" s="9">
        <v>80115006.5110192</v>
      </c>
      <c r="C6" s="9">
        <v>2350</v>
      </c>
      <c r="D6" s="9">
        <v>8169917.7589619756</v>
      </c>
      <c r="E6" s="9">
        <v>3476.560791015625</v>
      </c>
      <c r="F6" s="3">
        <v>10.197736740112299</v>
      </c>
      <c r="G6" s="3">
        <v>4.8074951171875</v>
      </c>
      <c r="H6" s="1"/>
    </row>
    <row r="7" spans="1:8" ht="14.1" customHeight="1" x14ac:dyDescent="0.25">
      <c r="A7" s="2" t="s">
        <v>21</v>
      </c>
      <c r="B7" s="9">
        <v>134779162.69051</v>
      </c>
      <c r="C7" s="9">
        <v>85</v>
      </c>
      <c r="D7" s="9">
        <v>33536324.718383789</v>
      </c>
      <c r="E7" s="9">
        <v>394545</v>
      </c>
      <c r="F7" s="3">
        <v>24.882425308227539</v>
      </c>
      <c r="G7" s="3">
        <v>19.734067916870121</v>
      </c>
      <c r="H7" s="1"/>
    </row>
    <row r="8" spans="1:8" ht="14.1" customHeight="1" x14ac:dyDescent="0.25">
      <c r="A8" s="2" t="s">
        <v>32</v>
      </c>
      <c r="B8" s="9">
        <v>172974215.256347</v>
      </c>
      <c r="C8" s="9">
        <v>1222</v>
      </c>
      <c r="D8" s="9">
        <v>15275845.926349919</v>
      </c>
      <c r="E8" s="9">
        <v>12500.6923828125</v>
      </c>
      <c r="F8" s="3">
        <v>8.8312854766845703</v>
      </c>
      <c r="G8" s="3">
        <v>8.9888973236083984</v>
      </c>
      <c r="H8" s="1"/>
    </row>
    <row r="9" spans="1:8" ht="14.1" customHeight="1" x14ac:dyDescent="0.25">
      <c r="A9" s="2" t="s">
        <v>39</v>
      </c>
      <c r="B9" s="9">
        <v>98432191.357677802</v>
      </c>
      <c r="C9" s="9">
        <v>2014</v>
      </c>
      <c r="D9" s="9">
        <v>29721867.018480971</v>
      </c>
      <c r="E9" s="9">
        <v>14757.6298828125</v>
      </c>
      <c r="F9" s="3">
        <v>30.195270538330082</v>
      </c>
      <c r="G9" s="3">
        <v>17.489494323730469</v>
      </c>
      <c r="H9" s="1"/>
    </row>
    <row r="10" spans="1:8" ht="14.1" customHeight="1" x14ac:dyDescent="0.25">
      <c r="A10" s="2" t="s">
        <v>65</v>
      </c>
      <c r="B10" s="9">
        <v>6840139.3646279303</v>
      </c>
      <c r="C10" s="9">
        <v>1676</v>
      </c>
      <c r="D10" s="9">
        <v>2893895.3265060331</v>
      </c>
      <c r="E10" s="9">
        <v>1726.667846679688</v>
      </c>
      <c r="F10" s="3">
        <v>42.307548522949219</v>
      </c>
      <c r="G10" s="3">
        <v>1.702879786491394</v>
      </c>
      <c r="H10" s="1"/>
    </row>
    <row r="11" spans="1:8" ht="14.1" customHeight="1" x14ac:dyDescent="0.25">
      <c r="A11" s="2" t="s">
        <v>41</v>
      </c>
      <c r="B11" s="9">
        <v>22744373.104050402</v>
      </c>
      <c r="C11" s="9">
        <v>4627</v>
      </c>
      <c r="D11" s="9">
        <v>4012887.776085055</v>
      </c>
      <c r="E11" s="9">
        <v>867.2763671875</v>
      </c>
      <c r="F11" s="3">
        <v>17.643430709838871</v>
      </c>
      <c r="G11" s="3">
        <v>2.3613381385803218</v>
      </c>
      <c r="H11" s="1"/>
    </row>
    <row r="12" spans="1:8" ht="14.1" customHeight="1" x14ac:dyDescent="0.25">
      <c r="A12" s="2" t="s">
        <v>7</v>
      </c>
      <c r="B12" s="9">
        <v>252701298.390847</v>
      </c>
      <c r="C12" s="9">
        <v>1857</v>
      </c>
      <c r="D12" s="9">
        <v>76142709.836652502</v>
      </c>
      <c r="E12" s="9">
        <v>41003.07421875</v>
      </c>
      <c r="F12" s="3">
        <v>30.13150787353516</v>
      </c>
      <c r="G12" s="3">
        <v>44.805309295654297</v>
      </c>
      <c r="H12" s="1"/>
    </row>
    <row r="13" spans="1:8" ht="15.75" thickBot="1" x14ac:dyDescent="0.3">
      <c r="A13" s="4" t="s">
        <v>97</v>
      </c>
      <c r="B13" s="5">
        <v>768828858.65570676</v>
      </c>
      <c r="C13" s="5">
        <v>13903</v>
      </c>
      <c r="D13" s="5">
        <v>169941262.27709243</v>
      </c>
      <c r="E13" s="5">
        <v>12223.35195836096</v>
      </c>
      <c r="F13" s="10">
        <v>22.103913031338841</v>
      </c>
      <c r="G13" s="10">
        <v>99.999998862156644</v>
      </c>
      <c r="H13" s="1"/>
    </row>
    <row r="14" spans="1:8" x14ac:dyDescent="0.25">
      <c r="A14" s="11"/>
      <c r="B14" s="11"/>
    </row>
    <row r="16" spans="1:8" ht="22.5" customHeight="1" x14ac:dyDescent="0.25">
      <c r="A16" s="40" t="s">
        <v>124</v>
      </c>
      <c r="B16" s="40"/>
      <c r="C16" s="40"/>
      <c r="D16" s="40"/>
      <c r="E16" s="40"/>
      <c r="F16" s="40"/>
    </row>
    <row r="17" spans="1:6" ht="39" customHeight="1" x14ac:dyDescent="0.25">
      <c r="A17" s="40" t="s">
        <v>111</v>
      </c>
      <c r="B17" s="40"/>
      <c r="C17" s="40"/>
      <c r="D17" s="40"/>
      <c r="E17" s="40"/>
      <c r="F17" s="40"/>
    </row>
    <row r="18" spans="1:6" ht="20.25" customHeight="1" x14ac:dyDescent="0.25">
      <c r="A18" s="40" t="s">
        <v>125</v>
      </c>
      <c r="B18" s="40"/>
      <c r="C18" s="40"/>
      <c r="D18" s="40"/>
      <c r="E18" s="40"/>
      <c r="F18" s="40"/>
    </row>
    <row r="20" spans="1:6" ht="35.25" customHeight="1" x14ac:dyDescent="0.25">
      <c r="A20" s="41" t="s">
        <v>1208</v>
      </c>
      <c r="B20" s="41"/>
      <c r="C20" s="41"/>
      <c r="D20" s="41"/>
      <c r="E20" s="41"/>
      <c r="F20" s="41"/>
    </row>
    <row r="21" spans="1:6" ht="30" customHeight="1" x14ac:dyDescent="0.25">
      <c r="A21" s="41" t="s">
        <v>113</v>
      </c>
      <c r="B21" s="41"/>
      <c r="C21" s="41"/>
      <c r="D21" s="41"/>
      <c r="E21" s="41"/>
      <c r="F21" s="41"/>
    </row>
  </sheetData>
  <mergeCells count="6">
    <mergeCell ref="A21:F21"/>
    <mergeCell ref="A1:G1"/>
    <mergeCell ref="A16:F16"/>
    <mergeCell ref="A17:F17"/>
    <mergeCell ref="A18:F18"/>
    <mergeCell ref="A20:F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workbookViewId="0">
      <selection activeCell="B7" sqref="B7"/>
    </sheetView>
  </sheetViews>
  <sheetFormatPr defaultRowHeight="15" x14ac:dyDescent="0.25"/>
  <cols>
    <col min="1" max="1" width="12.7109375" customWidth="1"/>
    <col min="2" max="2" width="17.85546875" customWidth="1"/>
    <col min="3" max="5" width="20.7109375" customWidth="1"/>
    <col min="6" max="6" width="21" customWidth="1"/>
  </cols>
  <sheetData>
    <row r="1" spans="1:7" ht="25.15" customHeight="1" x14ac:dyDescent="0.25">
      <c r="A1" s="38" t="s">
        <v>126</v>
      </c>
      <c r="B1" s="38"/>
      <c r="C1" s="38"/>
      <c r="D1" s="38"/>
      <c r="E1" s="38"/>
      <c r="F1" s="38"/>
    </row>
    <row r="2" spans="1:7" ht="21.95" customHeight="1" x14ac:dyDescent="0.25">
      <c r="A2" s="26" t="s">
        <v>127</v>
      </c>
      <c r="B2" s="26" t="s">
        <v>2</v>
      </c>
      <c r="C2" s="26" t="s">
        <v>117</v>
      </c>
      <c r="D2" s="26" t="s">
        <v>118</v>
      </c>
      <c r="E2" s="26" t="s">
        <v>128</v>
      </c>
      <c r="F2" s="26" t="s">
        <v>120</v>
      </c>
      <c r="G2" s="1"/>
    </row>
    <row r="3" spans="1:7" ht="14.1" customHeight="1" x14ac:dyDescent="0.25">
      <c r="A3" s="2" t="s">
        <v>129</v>
      </c>
      <c r="B3" s="9">
        <v>80</v>
      </c>
      <c r="C3" s="9">
        <v>84085730.401156649</v>
      </c>
      <c r="D3" s="9">
        <v>1051071.630014458</v>
      </c>
      <c r="E3" s="3">
        <v>10.93685927847782</v>
      </c>
      <c r="F3" s="3">
        <v>49.479290240914771</v>
      </c>
      <c r="G3" s="1"/>
    </row>
    <row r="4" spans="1:7" ht="14.1" customHeight="1" x14ac:dyDescent="0.25">
      <c r="A4" s="2" t="s">
        <v>130</v>
      </c>
      <c r="B4" s="9">
        <v>7295</v>
      </c>
      <c r="C4" s="9">
        <v>65864604.887095042</v>
      </c>
      <c r="D4" s="9">
        <v>9028.7326781487373</v>
      </c>
      <c r="E4" s="3">
        <v>8.5668746842780834</v>
      </c>
      <c r="F4" s="3">
        <v>38.757276487508747</v>
      </c>
      <c r="G4" s="1"/>
    </row>
    <row r="5" spans="1:7" ht="14.1" customHeight="1" x14ac:dyDescent="0.25">
      <c r="A5" s="2" t="s">
        <v>131</v>
      </c>
      <c r="B5" s="9">
        <v>255</v>
      </c>
      <c r="C5" s="9">
        <v>9954950.8854382019</v>
      </c>
      <c r="D5" s="9">
        <v>39039.023080149811</v>
      </c>
      <c r="E5" s="3">
        <v>1.2948201370050549</v>
      </c>
      <c r="F5" s="3">
        <v>5.85787745250855</v>
      </c>
      <c r="G5" s="1"/>
    </row>
    <row r="6" spans="1:7" ht="14.1" customHeight="1" x14ac:dyDescent="0.25">
      <c r="A6" s="2" t="s">
        <v>132</v>
      </c>
      <c r="B6" s="9">
        <v>6276</v>
      </c>
      <c r="C6" s="9">
        <v>10035976.1034023</v>
      </c>
      <c r="D6" s="9">
        <v>1599.1039043024689</v>
      </c>
      <c r="E6" s="3">
        <v>1.3053589216793819</v>
      </c>
      <c r="F6" s="3">
        <v>5.9055558190679216</v>
      </c>
      <c r="G6" s="1"/>
    </row>
    <row r="7" spans="1:7" x14ac:dyDescent="0.25">
      <c r="A7" s="4" t="s">
        <v>97</v>
      </c>
      <c r="B7" s="5">
        <v>13906</v>
      </c>
      <c r="C7" s="5">
        <v>169941262.27709219</v>
      </c>
      <c r="D7" s="5">
        <v>12220.714963116079</v>
      </c>
      <c r="E7" s="10">
        <v>22.103913031338802</v>
      </c>
      <c r="F7" s="10">
        <v>100</v>
      </c>
      <c r="G7" s="1"/>
    </row>
    <row r="8" spans="1:7" x14ac:dyDescent="0.25">
      <c r="A8" s="12" t="s">
        <v>99</v>
      </c>
      <c r="C8" s="9">
        <v>768828858.655707</v>
      </c>
    </row>
    <row r="9" spans="1:7" x14ac:dyDescent="0.25">
      <c r="A9" s="11"/>
      <c r="B9" s="11"/>
    </row>
    <row r="11" spans="1:7" ht="33" customHeight="1" x14ac:dyDescent="0.25">
      <c r="A11" s="40" t="s">
        <v>133</v>
      </c>
      <c r="B11" s="40"/>
      <c r="C11" s="40"/>
      <c r="D11" s="40"/>
      <c r="E11" s="40"/>
      <c r="F11" s="40"/>
    </row>
    <row r="12" spans="1:7" ht="39" customHeight="1" x14ac:dyDescent="0.25">
      <c r="A12" s="40" t="s">
        <v>111</v>
      </c>
      <c r="B12" s="40"/>
      <c r="C12" s="40"/>
      <c r="D12" s="40"/>
      <c r="E12" s="40"/>
      <c r="F12" s="40"/>
    </row>
    <row r="13" spans="1:7" ht="15" customHeight="1" x14ac:dyDescent="0.25">
      <c r="A13" s="40" t="s">
        <v>134</v>
      </c>
      <c r="B13" s="40"/>
      <c r="C13" s="40"/>
      <c r="D13" s="40"/>
      <c r="E13" s="40"/>
      <c r="F13" s="40"/>
    </row>
    <row r="14" spans="1:7" ht="26.25" customHeight="1" x14ac:dyDescent="0.25">
      <c r="A14" s="40" t="s">
        <v>135</v>
      </c>
      <c r="B14" s="40"/>
      <c r="C14" s="40"/>
      <c r="D14" s="40"/>
      <c r="E14" s="40"/>
      <c r="F14" s="40"/>
    </row>
    <row r="15" spans="1:7" x14ac:dyDescent="0.25">
      <c r="A15" s="13"/>
      <c r="B15" s="13"/>
      <c r="C15" s="13"/>
      <c r="D15" s="13"/>
      <c r="E15" s="13"/>
      <c r="F15" s="13"/>
    </row>
    <row r="16" spans="1:7" ht="39" customHeight="1" x14ac:dyDescent="0.25">
      <c r="A16" s="41" t="s">
        <v>1208</v>
      </c>
      <c r="B16" s="41"/>
      <c r="C16" s="41"/>
      <c r="D16" s="41"/>
      <c r="E16" s="41"/>
      <c r="F16" s="41"/>
    </row>
    <row r="17" spans="1:6" ht="26.25" customHeight="1" x14ac:dyDescent="0.25">
      <c r="A17" s="41" t="s">
        <v>113</v>
      </c>
      <c r="B17" s="41"/>
      <c r="C17" s="41"/>
      <c r="D17" s="41"/>
      <c r="E17" s="41"/>
      <c r="F17" s="41"/>
    </row>
  </sheetData>
  <mergeCells count="7">
    <mergeCell ref="A1:F1"/>
    <mergeCell ref="A14:F14"/>
    <mergeCell ref="A16:F16"/>
    <mergeCell ref="A17:F17"/>
    <mergeCell ref="A11:F11"/>
    <mergeCell ref="A12:F12"/>
    <mergeCell ref="A13:F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workbookViewId="0">
      <selection sqref="A1:F1"/>
    </sheetView>
  </sheetViews>
  <sheetFormatPr defaultRowHeight="15" x14ac:dyDescent="0.25"/>
  <cols>
    <col min="1" max="1" width="18.140625" customWidth="1"/>
    <col min="2" max="2" width="16.42578125" customWidth="1"/>
    <col min="3" max="3" width="12.7109375" customWidth="1"/>
    <col min="4" max="4" width="16.85546875" customWidth="1"/>
    <col min="5" max="5" width="19.85546875" customWidth="1"/>
    <col min="6" max="6" width="20.85546875" customWidth="1"/>
    <col min="12" max="12" width="11.7109375" bestFit="1" customWidth="1"/>
  </cols>
  <sheetData>
    <row r="1" spans="1:7" s="25" customFormat="1" ht="21.6" customHeight="1" thickBot="1" x14ac:dyDescent="0.3">
      <c r="A1" s="43" t="s">
        <v>136</v>
      </c>
      <c r="B1" s="44"/>
      <c r="C1" s="44"/>
      <c r="D1" s="44"/>
      <c r="E1" s="44"/>
      <c r="F1" s="45"/>
    </row>
    <row r="2" spans="1:7" s="25" customFormat="1" ht="24.4" customHeight="1" x14ac:dyDescent="0.25">
      <c r="A2" s="26" t="s">
        <v>137</v>
      </c>
      <c r="B2" s="26" t="s">
        <v>2</v>
      </c>
      <c r="C2" s="26" t="s">
        <v>3</v>
      </c>
      <c r="D2" s="16" t="s">
        <v>1209</v>
      </c>
      <c r="E2" s="16" t="s">
        <v>1210</v>
      </c>
      <c r="F2" s="26" t="s">
        <v>120</v>
      </c>
      <c r="G2" s="24"/>
    </row>
    <row r="3" spans="1:7" ht="14.1" customHeight="1" x14ac:dyDescent="0.25">
      <c r="A3" s="2" t="s">
        <v>138</v>
      </c>
      <c r="B3" s="9">
        <v>2663</v>
      </c>
      <c r="C3" s="9">
        <v>15830919.70597606</v>
      </c>
      <c r="D3" s="9">
        <v>5944.7689470432106</v>
      </c>
      <c r="E3" s="3">
        <v>2.0590954047389709</v>
      </c>
      <c r="F3" s="3">
        <v>9.3155243722760233</v>
      </c>
      <c r="G3" s="1"/>
    </row>
    <row r="4" spans="1:7" ht="14.1" customHeight="1" x14ac:dyDescent="0.25">
      <c r="A4" s="2" t="s">
        <v>139</v>
      </c>
      <c r="B4" s="9">
        <v>67</v>
      </c>
      <c r="C4" s="9">
        <v>3855902.8794670268</v>
      </c>
      <c r="D4" s="9">
        <v>57550.789245776497</v>
      </c>
      <c r="E4" s="3">
        <v>0.50152941507454873</v>
      </c>
      <c r="F4" s="3">
        <v>2.2689621271495</v>
      </c>
      <c r="G4" s="1"/>
    </row>
    <row r="5" spans="1:7" ht="14.1" customHeight="1" x14ac:dyDescent="0.25">
      <c r="A5" s="2" t="s">
        <v>140</v>
      </c>
      <c r="B5" s="9">
        <v>1134</v>
      </c>
      <c r="C5" s="9">
        <v>39491130.284773447</v>
      </c>
      <c r="D5" s="9">
        <v>34824.629880752611</v>
      </c>
      <c r="E5" s="3">
        <v>5.1365306885252409</v>
      </c>
      <c r="F5" s="3">
        <v>23.238105775854741</v>
      </c>
      <c r="G5" s="1"/>
    </row>
    <row r="6" spans="1:7" ht="14.1" customHeight="1" x14ac:dyDescent="0.25">
      <c r="A6" s="2" t="s">
        <v>141</v>
      </c>
      <c r="B6" s="9">
        <v>2421</v>
      </c>
      <c r="C6" s="9">
        <v>1874784.5107839089</v>
      </c>
      <c r="D6" s="9">
        <v>774.38434976617521</v>
      </c>
      <c r="E6" s="3">
        <v>0.24384939363779901</v>
      </c>
      <c r="F6" s="3">
        <v>1.1031955898544741</v>
      </c>
      <c r="G6" s="1"/>
    </row>
    <row r="7" spans="1:7" ht="14.1" customHeight="1" x14ac:dyDescent="0.25">
      <c r="A7" s="2" t="s">
        <v>142</v>
      </c>
      <c r="B7" s="9">
        <v>4643</v>
      </c>
      <c r="C7" s="9">
        <v>2477433.212338862</v>
      </c>
      <c r="D7" s="9">
        <v>533.5845815935528</v>
      </c>
      <c r="E7" s="3">
        <v>0.3222346798429509</v>
      </c>
      <c r="F7" s="3">
        <v>1.4578173535626451</v>
      </c>
      <c r="G7" s="1"/>
    </row>
    <row r="8" spans="1:7" ht="14.1" customHeight="1" x14ac:dyDescent="0.25">
      <c r="A8" s="2" t="s">
        <v>143</v>
      </c>
      <c r="B8" s="9">
        <v>361</v>
      </c>
      <c r="C8" s="9">
        <v>8002906.0746674333</v>
      </c>
      <c r="D8" s="9">
        <v>22168.71488827543</v>
      </c>
      <c r="E8" s="3">
        <v>1.040921653887531</v>
      </c>
      <c r="F8" s="3">
        <v>4.70921891919253</v>
      </c>
      <c r="G8" s="1"/>
    </row>
    <row r="9" spans="1:7" ht="14.1" customHeight="1" x14ac:dyDescent="0.25">
      <c r="A9" s="2" t="s">
        <v>144</v>
      </c>
      <c r="B9" s="9">
        <v>1352</v>
      </c>
      <c r="C9" s="9">
        <v>98133221.821008936</v>
      </c>
      <c r="D9" s="9">
        <v>72583.743950450415</v>
      </c>
      <c r="E9" s="3">
        <v>12.763987807201829</v>
      </c>
      <c r="F9" s="3">
        <v>57.745376553106261</v>
      </c>
      <c r="G9" s="1"/>
    </row>
    <row r="10" spans="1:7" ht="14.1" customHeight="1" x14ac:dyDescent="0.25">
      <c r="A10" s="2" t="s">
        <v>145</v>
      </c>
      <c r="B10" s="9">
        <v>9</v>
      </c>
      <c r="C10" s="9">
        <v>2824.9705899104779</v>
      </c>
      <c r="D10" s="9">
        <v>313.88562110116419</v>
      </c>
      <c r="E10" s="3">
        <v>3.6743815698917181E-4</v>
      </c>
      <c r="F10" s="3">
        <v>1.6623217646249511E-3</v>
      </c>
      <c r="G10" s="1"/>
    </row>
    <row r="11" spans="1:7" ht="14.1" customHeight="1" x14ac:dyDescent="0.25">
      <c r="A11" s="17" t="s">
        <v>146</v>
      </c>
      <c r="B11" s="9">
        <v>1397</v>
      </c>
      <c r="C11" s="9">
        <v>272138.44219099899</v>
      </c>
      <c r="D11" s="9">
        <v>194.80203449606199</v>
      </c>
      <c r="E11" s="3">
        <v>3.5396491560548998E-2</v>
      </c>
      <c r="F11" s="3">
        <v>0.16013676640065899</v>
      </c>
      <c r="G11" s="1"/>
    </row>
    <row r="12" spans="1:7" ht="14.1" customHeight="1" x14ac:dyDescent="0.25">
      <c r="A12" s="18" t="s">
        <v>359</v>
      </c>
      <c r="B12" s="11">
        <v>1</v>
      </c>
      <c r="C12" s="9">
        <v>0.37529582351708701</v>
      </c>
      <c r="D12" s="9">
        <v>0.37529582351708701</v>
      </c>
      <c r="E12" s="3">
        <v>4.8813961999999997E-8</v>
      </c>
      <c r="F12" s="3">
        <v>2.20728899E-7</v>
      </c>
      <c r="G12" s="1"/>
    </row>
    <row r="13" spans="1:7" ht="15.75" thickBot="1" x14ac:dyDescent="0.3">
      <c r="A13" s="4" t="s">
        <v>97</v>
      </c>
      <c r="B13" s="5">
        <v>14048</v>
      </c>
      <c r="C13" s="5">
        <v>169941262.27709243</v>
      </c>
      <c r="D13" s="5">
        <v>12097.185526558402</v>
      </c>
      <c r="E13" s="10">
        <v>22.10391302144037</v>
      </c>
      <c r="F13" s="10">
        <v>99.999999999890349</v>
      </c>
      <c r="G13" s="1"/>
    </row>
    <row r="14" spans="1:7" x14ac:dyDescent="0.25">
      <c r="A14" s="19" t="s">
        <v>99</v>
      </c>
      <c r="B14" s="20"/>
      <c r="C14" s="21">
        <v>768828858.655707</v>
      </c>
    </row>
    <row r="16" spans="1:7" ht="52.5" customHeight="1" x14ac:dyDescent="0.25">
      <c r="A16" s="40" t="s">
        <v>148</v>
      </c>
      <c r="B16" s="40"/>
      <c r="C16" s="40"/>
      <c r="D16" s="40"/>
      <c r="E16" s="40"/>
      <c r="F16" s="40"/>
    </row>
    <row r="17" spans="1:6" ht="48.75" customHeight="1" x14ac:dyDescent="0.25">
      <c r="A17" s="40" t="s">
        <v>111</v>
      </c>
      <c r="B17" s="40"/>
      <c r="C17" s="40"/>
      <c r="D17" s="40"/>
      <c r="E17" s="40"/>
      <c r="F17" s="40"/>
    </row>
    <row r="18" spans="1:6" x14ac:dyDescent="0.25">
      <c r="A18" s="40" t="s">
        <v>149</v>
      </c>
      <c r="B18" s="40"/>
      <c r="C18" s="40"/>
      <c r="D18" s="40"/>
      <c r="E18" s="40"/>
      <c r="F18" s="40"/>
    </row>
    <row r="19" spans="1:6" ht="39.75" customHeight="1" x14ac:dyDescent="0.25">
      <c r="A19" s="40" t="s">
        <v>135</v>
      </c>
      <c r="B19" s="40"/>
      <c r="C19" s="40"/>
      <c r="D19" s="40"/>
      <c r="E19" s="40"/>
      <c r="F19" s="40"/>
    </row>
    <row r="20" spans="1:6" x14ac:dyDescent="0.25">
      <c r="A20" s="13"/>
      <c r="B20" s="13"/>
      <c r="C20" s="13"/>
      <c r="D20" s="13"/>
      <c r="E20" s="13"/>
      <c r="F20" s="13"/>
    </row>
    <row r="21" spans="1:6" ht="38.25" customHeight="1" x14ac:dyDescent="0.25">
      <c r="A21" s="41" t="s">
        <v>1208</v>
      </c>
      <c r="B21" s="41"/>
      <c r="C21" s="41"/>
      <c r="D21" s="41"/>
      <c r="E21" s="41"/>
      <c r="F21" s="41"/>
    </row>
    <row r="22" spans="1:6" ht="42" customHeight="1" x14ac:dyDescent="0.25">
      <c r="A22" s="41" t="s">
        <v>113</v>
      </c>
      <c r="B22" s="41"/>
      <c r="C22" s="41"/>
      <c r="D22" s="41"/>
      <c r="E22" s="41"/>
      <c r="F22" s="41"/>
    </row>
  </sheetData>
  <mergeCells count="7">
    <mergeCell ref="A1:F1"/>
    <mergeCell ref="A21:F21"/>
    <mergeCell ref="A22:F22"/>
    <mergeCell ref="A19:F19"/>
    <mergeCell ref="A16:F16"/>
    <mergeCell ref="A17:F17"/>
    <mergeCell ref="A18:F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
  <sheetViews>
    <sheetView zoomScaleNormal="100" workbookViewId="0">
      <selection activeCell="E76" sqref="E76"/>
    </sheetView>
  </sheetViews>
  <sheetFormatPr defaultRowHeight="15" x14ac:dyDescent="0.25"/>
  <cols>
    <col min="1" max="1" width="30.7109375" customWidth="1"/>
    <col min="2" max="5" width="20.7109375" customWidth="1"/>
    <col min="6" max="6" width="23.85546875" customWidth="1"/>
    <col min="7" max="7" width="20.7109375" customWidth="1"/>
  </cols>
  <sheetData>
    <row r="1" spans="1:7" ht="22.15" customHeight="1" x14ac:dyDescent="0.25">
      <c r="A1" s="38" t="s">
        <v>150</v>
      </c>
      <c r="B1" s="38"/>
      <c r="C1" s="38"/>
      <c r="D1" s="38"/>
      <c r="E1" s="38"/>
      <c r="F1" s="38"/>
      <c r="G1" s="38"/>
    </row>
    <row r="2" spans="1:7" ht="27" x14ac:dyDescent="0.25">
      <c r="A2" s="26" t="s">
        <v>151</v>
      </c>
      <c r="B2" s="26" t="s">
        <v>152</v>
      </c>
      <c r="C2" s="26" t="s">
        <v>4</v>
      </c>
      <c r="D2" s="26" t="s">
        <v>153</v>
      </c>
      <c r="E2" s="26" t="s">
        <v>154</v>
      </c>
      <c r="F2" s="26" t="s">
        <v>155</v>
      </c>
      <c r="G2" s="26" t="s">
        <v>156</v>
      </c>
    </row>
    <row r="3" spans="1:7" ht="14.1" customHeight="1" x14ac:dyDescent="0.25">
      <c r="A3" s="2" t="s">
        <v>157</v>
      </c>
      <c r="B3" s="2" t="s">
        <v>158</v>
      </c>
      <c r="C3" s="2" t="s">
        <v>21</v>
      </c>
      <c r="D3" s="9">
        <v>3335668.5649999999</v>
      </c>
      <c r="E3" s="9">
        <v>1809096.5895668101</v>
      </c>
      <c r="F3" s="3">
        <v>54.234902368569408</v>
      </c>
      <c r="G3" s="3">
        <v>1.066013153412082</v>
      </c>
    </row>
    <row r="4" spans="1:7" ht="14.1" customHeight="1" x14ac:dyDescent="0.25">
      <c r="A4" s="2" t="s">
        <v>159</v>
      </c>
      <c r="B4" s="2" t="s">
        <v>160</v>
      </c>
      <c r="C4" s="2" t="s">
        <v>21</v>
      </c>
      <c r="D4" s="9">
        <v>2306022.6039999998</v>
      </c>
      <c r="E4" s="9">
        <v>1728646.902718751</v>
      </c>
      <c r="F4" s="3">
        <v>74.962270522425058</v>
      </c>
      <c r="G4" s="3">
        <v>1.0186080425614501</v>
      </c>
    </row>
    <row r="5" spans="1:7" ht="14.1" customHeight="1" x14ac:dyDescent="0.25">
      <c r="A5" s="2" t="s">
        <v>161</v>
      </c>
      <c r="B5" s="2" t="s">
        <v>162</v>
      </c>
      <c r="C5" s="2" t="s">
        <v>163</v>
      </c>
      <c r="D5" s="9">
        <v>1232980.52</v>
      </c>
      <c r="E5" s="9">
        <v>789706.80913646799</v>
      </c>
      <c r="F5" s="3">
        <v>64.048603877088667</v>
      </c>
      <c r="G5" s="3">
        <v>0.46533604160966241</v>
      </c>
    </row>
    <row r="6" spans="1:7" ht="14.1" customHeight="1" x14ac:dyDescent="0.25">
      <c r="A6" s="2" t="s">
        <v>164</v>
      </c>
      <c r="B6" s="2" t="s">
        <v>165</v>
      </c>
      <c r="C6" s="2" t="s">
        <v>7</v>
      </c>
      <c r="D6" s="9">
        <v>9517104.3010000009</v>
      </c>
      <c r="E6" s="9">
        <v>408322.41971698258</v>
      </c>
      <c r="F6" s="3">
        <v>4.290406060529131</v>
      </c>
      <c r="G6" s="3">
        <v>0.24060466022744531</v>
      </c>
    </row>
    <row r="7" spans="1:7" ht="14.1" customHeight="1" x14ac:dyDescent="0.25">
      <c r="A7" s="2" t="s">
        <v>166</v>
      </c>
      <c r="B7" s="2" t="s">
        <v>167</v>
      </c>
      <c r="C7" s="2" t="s">
        <v>65</v>
      </c>
      <c r="D7" s="9">
        <v>657499.64399999997</v>
      </c>
      <c r="E7" s="9">
        <v>106071.67575661661</v>
      </c>
      <c r="F7" s="3">
        <v>16.132582994465722</v>
      </c>
      <c r="G7" s="3">
        <v>6.2502910133775916E-2</v>
      </c>
    </row>
    <row r="8" spans="1:7" ht="14.1" customHeight="1" x14ac:dyDescent="0.25">
      <c r="A8" s="2" t="s">
        <v>168</v>
      </c>
      <c r="B8" s="2" t="s">
        <v>169</v>
      </c>
      <c r="C8" s="2" t="s">
        <v>32</v>
      </c>
      <c r="D8" s="9">
        <v>13674532.530999999</v>
      </c>
      <c r="E8" s="9">
        <v>328515.99959648302</v>
      </c>
      <c r="F8" s="3">
        <v>2.402392907046301</v>
      </c>
      <c r="G8" s="3">
        <v>0.19357859535848521</v>
      </c>
    </row>
    <row r="9" spans="1:7" ht="14.1" customHeight="1" x14ac:dyDescent="0.25">
      <c r="A9" s="2" t="s">
        <v>170</v>
      </c>
      <c r="B9" s="2" t="s">
        <v>171</v>
      </c>
      <c r="C9" s="2" t="s">
        <v>172</v>
      </c>
      <c r="D9" s="9">
        <v>27219775.899</v>
      </c>
      <c r="E9" s="9">
        <v>1482091.6382664379</v>
      </c>
      <c r="F9" s="3">
        <v>5.4449075692826963</v>
      </c>
      <c r="G9" s="3">
        <v>0.87332494575781616</v>
      </c>
    </row>
    <row r="10" spans="1:7" ht="14.1" customHeight="1" x14ac:dyDescent="0.25">
      <c r="A10" s="2" t="s">
        <v>173</v>
      </c>
      <c r="B10" s="2" t="s">
        <v>174</v>
      </c>
      <c r="C10" s="2" t="s">
        <v>175</v>
      </c>
      <c r="D10" s="9">
        <v>5635422.2470000004</v>
      </c>
      <c r="E10" s="9">
        <v>327553.31711891032</v>
      </c>
      <c r="F10" s="3">
        <v>5.8124006110328699</v>
      </c>
      <c r="G10" s="3">
        <v>0.19301133311855281</v>
      </c>
    </row>
    <row r="11" spans="1:7" ht="14.1" customHeight="1" x14ac:dyDescent="0.25">
      <c r="A11" s="2" t="s">
        <v>176</v>
      </c>
      <c r="B11" s="2" t="s">
        <v>177</v>
      </c>
      <c r="C11" s="2" t="s">
        <v>21</v>
      </c>
      <c r="D11" s="9">
        <v>7379719.2180000003</v>
      </c>
      <c r="E11" s="9">
        <v>493241.13045826822</v>
      </c>
      <c r="F11" s="3">
        <v>6.6837384443461652</v>
      </c>
      <c r="G11" s="3">
        <v>0.29064315078846198</v>
      </c>
    </row>
    <row r="12" spans="1:7" ht="14.1" customHeight="1" x14ac:dyDescent="0.25">
      <c r="A12" s="2" t="s">
        <v>178</v>
      </c>
      <c r="B12" s="2" t="s">
        <v>179</v>
      </c>
      <c r="C12" s="2" t="s">
        <v>32</v>
      </c>
      <c r="D12" s="9">
        <v>12256457.234999999</v>
      </c>
      <c r="E12" s="9">
        <v>4263051.3917617463</v>
      </c>
      <c r="F12" s="3">
        <v>34.782085149271488</v>
      </c>
      <c r="G12" s="3">
        <v>2.5120100737008642</v>
      </c>
    </row>
    <row r="13" spans="1:7" ht="14.1" customHeight="1" x14ac:dyDescent="0.25">
      <c r="A13" s="2" t="s">
        <v>180</v>
      </c>
      <c r="B13" s="2" t="s">
        <v>181</v>
      </c>
      <c r="C13" s="2" t="s">
        <v>7</v>
      </c>
      <c r="D13" s="9">
        <v>8430171.7339999992</v>
      </c>
      <c r="E13" s="9">
        <v>1214346.645424813</v>
      </c>
      <c r="F13" s="3">
        <v>14.40476758649165</v>
      </c>
      <c r="G13" s="3">
        <v>0.71555576650258323</v>
      </c>
    </row>
    <row r="14" spans="1:7" ht="14.1" customHeight="1" x14ac:dyDescent="0.25">
      <c r="A14" s="2" t="s">
        <v>182</v>
      </c>
      <c r="B14" s="2" t="s">
        <v>183</v>
      </c>
      <c r="C14" s="2" t="s">
        <v>21</v>
      </c>
      <c r="D14" s="9">
        <v>3462433.0329999998</v>
      </c>
      <c r="E14" s="9">
        <v>1179909.1332344241</v>
      </c>
      <c r="F14" s="3">
        <v>34.077457151917827</v>
      </c>
      <c r="G14" s="3">
        <v>0.69526340556538557</v>
      </c>
    </row>
    <row r="15" spans="1:7" ht="14.1" customHeight="1" x14ac:dyDescent="0.25">
      <c r="A15" s="2" t="s">
        <v>184</v>
      </c>
      <c r="B15" s="2" t="s">
        <v>185</v>
      </c>
      <c r="C15" s="2" t="s">
        <v>7</v>
      </c>
      <c r="D15" s="9">
        <v>7675587.4900000002</v>
      </c>
      <c r="E15" s="9">
        <v>2460398.9010556298</v>
      </c>
      <c r="F15" s="3">
        <v>32.054861002641367</v>
      </c>
      <c r="G15" s="3">
        <v>1.4497941161858969</v>
      </c>
    </row>
    <row r="16" spans="1:7" ht="14.1" customHeight="1" x14ac:dyDescent="0.25">
      <c r="A16" s="2" t="s">
        <v>186</v>
      </c>
      <c r="B16" s="2" t="s">
        <v>187</v>
      </c>
      <c r="C16" s="2" t="s">
        <v>32</v>
      </c>
      <c r="D16" s="9">
        <v>1464207.9029999999</v>
      </c>
      <c r="E16" s="9">
        <v>214175.90088292491</v>
      </c>
      <c r="F16" s="3">
        <v>14.62742418232426</v>
      </c>
      <c r="G16" s="3">
        <v>0.12620350334072011</v>
      </c>
    </row>
    <row r="17" spans="1:7" ht="14.1" customHeight="1" x14ac:dyDescent="0.25">
      <c r="A17" s="2" t="s">
        <v>188</v>
      </c>
      <c r="B17" s="2" t="s">
        <v>189</v>
      </c>
      <c r="C17" s="2" t="s">
        <v>190</v>
      </c>
      <c r="D17" s="9">
        <v>10164043.989</v>
      </c>
      <c r="E17" s="9">
        <v>8265170.9696811056</v>
      </c>
      <c r="F17" s="3">
        <v>81.317741035222369</v>
      </c>
      <c r="G17" s="3">
        <v>4.8702656451248423</v>
      </c>
    </row>
    <row r="18" spans="1:7" ht="14.1" customHeight="1" x14ac:dyDescent="0.25">
      <c r="A18" s="2" t="s">
        <v>191</v>
      </c>
      <c r="B18" s="2" t="s">
        <v>192</v>
      </c>
      <c r="C18" s="2" t="s">
        <v>193</v>
      </c>
      <c r="D18" s="9">
        <v>30409436.973999999</v>
      </c>
      <c r="E18" s="9">
        <v>3345813.4919740572</v>
      </c>
      <c r="F18" s="3">
        <v>11.00254994801357</v>
      </c>
      <c r="G18" s="3">
        <v>1.971526126287154</v>
      </c>
    </row>
    <row r="19" spans="1:7" ht="14.1" customHeight="1" x14ac:dyDescent="0.25">
      <c r="A19" s="2" t="s">
        <v>194</v>
      </c>
      <c r="B19" s="2" t="s">
        <v>195</v>
      </c>
      <c r="C19" s="2" t="s">
        <v>10</v>
      </c>
      <c r="D19" s="9">
        <v>7385346.3959999997</v>
      </c>
      <c r="E19" s="9">
        <v>238713.14685359161</v>
      </c>
      <c r="F19" s="3">
        <v>3.23225389919262</v>
      </c>
      <c r="G19" s="3">
        <v>0.1406621160560875</v>
      </c>
    </row>
    <row r="20" spans="1:7" ht="14.1" customHeight="1" x14ac:dyDescent="0.25">
      <c r="A20" s="2" t="s">
        <v>196</v>
      </c>
      <c r="B20" s="2" t="s">
        <v>197</v>
      </c>
      <c r="C20" s="2" t="s">
        <v>7</v>
      </c>
      <c r="D20" s="9">
        <v>12912208.812000001</v>
      </c>
      <c r="E20" s="9">
        <v>4857335.6526454417</v>
      </c>
      <c r="F20" s="3">
        <v>37.618162185630567</v>
      </c>
      <c r="G20" s="3">
        <v>2.8621930559812592</v>
      </c>
    </row>
    <row r="21" spans="1:7" ht="14.1" customHeight="1" x14ac:dyDescent="0.25">
      <c r="A21" s="2" t="s">
        <v>198</v>
      </c>
      <c r="B21" s="2" t="s">
        <v>199</v>
      </c>
      <c r="C21" s="2" t="s">
        <v>122</v>
      </c>
      <c r="D21" s="9">
        <v>17167.102999999999</v>
      </c>
      <c r="E21" s="9">
        <v>0</v>
      </c>
      <c r="F21" s="3">
        <v>0</v>
      </c>
      <c r="G21" s="3">
        <v>0</v>
      </c>
    </row>
    <row r="22" spans="1:7" ht="14.1" customHeight="1" x14ac:dyDescent="0.25">
      <c r="A22" s="2" t="s">
        <v>200</v>
      </c>
      <c r="B22" s="2" t="s">
        <v>201</v>
      </c>
      <c r="C22" s="2" t="s">
        <v>21</v>
      </c>
      <c r="D22" s="9">
        <v>2092228.9550000001</v>
      </c>
      <c r="E22" s="9">
        <v>219031.84659186189</v>
      </c>
      <c r="F22" s="3">
        <v>10.468827805313589</v>
      </c>
      <c r="G22" s="3">
        <v>0.12906487737007549</v>
      </c>
    </row>
    <row r="23" spans="1:7" ht="14.1" customHeight="1" x14ac:dyDescent="0.25">
      <c r="A23" s="2" t="s">
        <v>202</v>
      </c>
      <c r="B23" s="2" t="s">
        <v>203</v>
      </c>
      <c r="C23" s="2" t="s">
        <v>7</v>
      </c>
      <c r="D23" s="9">
        <v>8360871.2740000002</v>
      </c>
      <c r="E23" s="9">
        <v>1225684.8713889541</v>
      </c>
      <c r="F23" s="3">
        <v>14.65977445676619</v>
      </c>
      <c r="G23" s="3">
        <v>0.72223683487883128</v>
      </c>
    </row>
    <row r="24" spans="1:7" ht="14.1" customHeight="1" x14ac:dyDescent="0.25">
      <c r="A24" s="2" t="s">
        <v>204</v>
      </c>
      <c r="B24" s="2" t="s">
        <v>205</v>
      </c>
      <c r="C24" s="2" t="s">
        <v>172</v>
      </c>
      <c r="D24" s="9">
        <v>10699769.228</v>
      </c>
      <c r="E24" s="9">
        <v>325554.48409721261</v>
      </c>
      <c r="F24" s="3">
        <v>3.0426308938072779</v>
      </c>
      <c r="G24" s="3">
        <v>0.19183351745912769</v>
      </c>
    </row>
    <row r="25" spans="1:7" ht="14.1" customHeight="1" x14ac:dyDescent="0.25">
      <c r="A25" s="2" t="s">
        <v>206</v>
      </c>
      <c r="B25" s="2" t="s">
        <v>207</v>
      </c>
      <c r="C25" s="2" t="s">
        <v>21</v>
      </c>
      <c r="D25" s="9">
        <v>2843199.4380000001</v>
      </c>
      <c r="E25" s="9">
        <v>878564.51850166568</v>
      </c>
      <c r="F25" s="3">
        <v>30.900558953390789</v>
      </c>
      <c r="G25" s="3">
        <v>0.51769559361570006</v>
      </c>
    </row>
    <row r="26" spans="1:7" ht="14.1" customHeight="1" x14ac:dyDescent="0.25">
      <c r="A26" s="2" t="s">
        <v>208</v>
      </c>
      <c r="B26" s="2" t="s">
        <v>209</v>
      </c>
      <c r="C26" s="2" t="s">
        <v>21</v>
      </c>
      <c r="D26" s="9">
        <v>5805108.1210000003</v>
      </c>
      <c r="E26" s="9">
        <v>129829.22239366551</v>
      </c>
      <c r="F26" s="3">
        <v>2.2364651904416348</v>
      </c>
      <c r="G26" s="3">
        <v>7.6502083729011808E-2</v>
      </c>
    </row>
    <row r="27" spans="1:7" ht="14.1" customHeight="1" x14ac:dyDescent="0.25">
      <c r="A27" s="2" t="s">
        <v>210</v>
      </c>
      <c r="B27" s="2" t="s">
        <v>211</v>
      </c>
      <c r="C27" s="2" t="s">
        <v>32</v>
      </c>
      <c r="D27" s="9">
        <v>6941095.4560000002</v>
      </c>
      <c r="E27" s="9">
        <v>234939.33931509341</v>
      </c>
      <c r="F27" s="3">
        <v>3.3847588007453169</v>
      </c>
      <c r="G27" s="3">
        <v>0.1384383937309859</v>
      </c>
    </row>
    <row r="28" spans="1:7" ht="14.1" customHeight="1" x14ac:dyDescent="0.25">
      <c r="A28" s="2" t="s">
        <v>212</v>
      </c>
      <c r="B28" s="2" t="s">
        <v>213</v>
      </c>
      <c r="C28" s="2" t="s">
        <v>32</v>
      </c>
      <c r="D28" s="9">
        <v>11625726.308</v>
      </c>
      <c r="E28" s="9">
        <v>893707.6252176679</v>
      </c>
      <c r="F28" s="3">
        <v>7.6873272390962937</v>
      </c>
      <c r="G28" s="3">
        <v>0.52661869425934593</v>
      </c>
    </row>
    <row r="29" spans="1:7" ht="14.1" customHeight="1" x14ac:dyDescent="0.25">
      <c r="A29" s="2" t="s">
        <v>214</v>
      </c>
      <c r="B29" s="2" t="s">
        <v>215</v>
      </c>
      <c r="C29" s="2" t="s">
        <v>7</v>
      </c>
      <c r="D29" s="9">
        <v>2921327.483</v>
      </c>
      <c r="E29" s="9">
        <v>854305.32705697219</v>
      </c>
      <c r="F29" s="3">
        <v>29.24373703490647</v>
      </c>
      <c r="G29" s="3">
        <v>0.50340082498901362</v>
      </c>
    </row>
    <row r="30" spans="1:7" ht="14.1" customHeight="1" x14ac:dyDescent="0.25">
      <c r="A30" s="2" t="s">
        <v>216</v>
      </c>
      <c r="B30" s="2" t="s">
        <v>217</v>
      </c>
      <c r="C30" s="2" t="s">
        <v>39</v>
      </c>
      <c r="D30" s="9">
        <v>6120408.6500000004</v>
      </c>
      <c r="E30" s="9">
        <v>926629.09334210318</v>
      </c>
      <c r="F30" s="3">
        <v>15.139987316730929</v>
      </c>
      <c r="G30" s="3">
        <v>0.54601772372669355</v>
      </c>
    </row>
    <row r="31" spans="1:7" ht="14.1" customHeight="1" x14ac:dyDescent="0.25">
      <c r="A31" s="2" t="s">
        <v>218</v>
      </c>
      <c r="B31" s="2" t="s">
        <v>219</v>
      </c>
      <c r="C31" s="2" t="s">
        <v>220</v>
      </c>
      <c r="D31" s="9">
        <v>7267416.1720000003</v>
      </c>
      <c r="E31" s="9">
        <v>334543.96610553819</v>
      </c>
      <c r="F31" s="3">
        <v>4.6033412451934943</v>
      </c>
      <c r="G31" s="3">
        <v>0.19713058458008839</v>
      </c>
    </row>
    <row r="32" spans="1:7" ht="14.1" customHeight="1" x14ac:dyDescent="0.25">
      <c r="A32" s="2" t="s">
        <v>221</v>
      </c>
      <c r="B32" s="2" t="s">
        <v>222</v>
      </c>
      <c r="C32" s="2" t="s">
        <v>39</v>
      </c>
      <c r="D32" s="9">
        <v>6615765.0329999998</v>
      </c>
      <c r="E32" s="9">
        <v>602128.3998111689</v>
      </c>
      <c r="F32" s="3">
        <v>9.1014175504677262</v>
      </c>
      <c r="G32" s="3">
        <v>0.35480515409924751</v>
      </c>
    </row>
    <row r="33" spans="1:7" ht="14.1" customHeight="1" x14ac:dyDescent="0.25">
      <c r="A33" s="2" t="s">
        <v>223</v>
      </c>
      <c r="B33" s="2" t="s">
        <v>224</v>
      </c>
      <c r="C33" s="2" t="s">
        <v>225</v>
      </c>
      <c r="D33" s="9">
        <v>537542.625</v>
      </c>
      <c r="E33" s="9">
        <v>183769.51635766329</v>
      </c>
      <c r="F33" s="3">
        <v>34.186966355954247</v>
      </c>
      <c r="G33" s="3">
        <v>0.108286491038245</v>
      </c>
    </row>
    <row r="34" spans="1:7" ht="14.1" customHeight="1" x14ac:dyDescent="0.25">
      <c r="A34" s="2" t="s">
        <v>226</v>
      </c>
      <c r="B34" s="2" t="s">
        <v>227</v>
      </c>
      <c r="C34" s="2" t="s">
        <v>7</v>
      </c>
      <c r="D34" s="9">
        <v>18075257.304000001</v>
      </c>
      <c r="E34" s="9">
        <v>2702791.0912980698</v>
      </c>
      <c r="F34" s="3">
        <v>14.952988197296371</v>
      </c>
      <c r="G34" s="3">
        <v>1.592624114635387</v>
      </c>
    </row>
    <row r="35" spans="1:7" ht="14.1" customHeight="1" x14ac:dyDescent="0.25">
      <c r="A35" s="2" t="s">
        <v>228</v>
      </c>
      <c r="B35" s="2" t="s">
        <v>229</v>
      </c>
      <c r="C35" s="2" t="s">
        <v>39</v>
      </c>
      <c r="D35" s="9">
        <v>12002882.873</v>
      </c>
      <c r="E35" s="9">
        <v>1963890.949565775</v>
      </c>
      <c r="F35" s="3">
        <v>16.36182715723627</v>
      </c>
      <c r="G35" s="3">
        <v>1.1572259857089</v>
      </c>
    </row>
    <row r="36" spans="1:7" ht="14.1" customHeight="1" x14ac:dyDescent="0.25">
      <c r="A36" s="2" t="s">
        <v>230</v>
      </c>
      <c r="B36" s="2" t="s">
        <v>231</v>
      </c>
      <c r="C36" s="2" t="s">
        <v>7</v>
      </c>
      <c r="D36" s="9">
        <v>3142149.443</v>
      </c>
      <c r="E36" s="9">
        <v>597362.63383565587</v>
      </c>
      <c r="F36" s="3">
        <v>19.01127380069223</v>
      </c>
      <c r="G36" s="3">
        <v>0.35199691862675841</v>
      </c>
    </row>
    <row r="37" spans="1:7" ht="14.1" customHeight="1" x14ac:dyDescent="0.25">
      <c r="A37" s="2" t="s">
        <v>232</v>
      </c>
      <c r="B37" s="2" t="s">
        <v>233</v>
      </c>
      <c r="C37" s="2" t="s">
        <v>7</v>
      </c>
      <c r="D37" s="9">
        <v>15628918.477</v>
      </c>
      <c r="E37" s="9">
        <v>9127291.6429037042</v>
      </c>
      <c r="F37" s="3">
        <v>58.400020809729789</v>
      </c>
      <c r="G37" s="3">
        <v>5.3782716757502342</v>
      </c>
    </row>
    <row r="38" spans="1:7" ht="14.1" customHeight="1" x14ac:dyDescent="0.25">
      <c r="A38" s="2" t="s">
        <v>234</v>
      </c>
      <c r="B38" s="2" t="s">
        <v>235</v>
      </c>
      <c r="C38" s="2" t="s">
        <v>236</v>
      </c>
      <c r="D38" s="9">
        <v>39486135.498000003</v>
      </c>
      <c r="E38" s="9">
        <v>17518352.933461081</v>
      </c>
      <c r="F38" s="3">
        <v>44.365833000670307</v>
      </c>
      <c r="G38" s="3">
        <v>10.322718400379239</v>
      </c>
    </row>
    <row r="39" spans="1:7" ht="14.1" customHeight="1" x14ac:dyDescent="0.25">
      <c r="A39" s="2" t="s">
        <v>237</v>
      </c>
      <c r="B39" s="2" t="s">
        <v>238</v>
      </c>
      <c r="C39" s="2" t="s">
        <v>239</v>
      </c>
      <c r="D39" s="9">
        <v>42246564.193000004</v>
      </c>
      <c r="E39" s="9">
        <v>18145119.74358492</v>
      </c>
      <c r="F39" s="3">
        <v>42.95052175294164</v>
      </c>
      <c r="G39" s="3">
        <v>10.69204177844947</v>
      </c>
    </row>
    <row r="40" spans="1:7" ht="14.1" customHeight="1" x14ac:dyDescent="0.25">
      <c r="A40" s="2" t="s">
        <v>240</v>
      </c>
      <c r="B40" s="2" t="s">
        <v>241</v>
      </c>
      <c r="C40" s="2" t="s">
        <v>21</v>
      </c>
      <c r="D40" s="9">
        <v>2711718.4440000001</v>
      </c>
      <c r="E40" s="9">
        <v>829674.46417345747</v>
      </c>
      <c r="F40" s="3">
        <v>30.595892652838309</v>
      </c>
      <c r="G40" s="3">
        <v>0.48888704835312741</v>
      </c>
    </row>
    <row r="41" spans="1:7" ht="14.1" customHeight="1" x14ac:dyDescent="0.25">
      <c r="A41" s="2" t="s">
        <v>242</v>
      </c>
      <c r="B41" s="2" t="s">
        <v>243</v>
      </c>
      <c r="C41" s="2" t="s">
        <v>244</v>
      </c>
      <c r="D41" s="9">
        <v>11847908.986</v>
      </c>
      <c r="E41" s="9">
        <v>2887350.8496810659</v>
      </c>
      <c r="F41" s="3">
        <v>24.370130232202861</v>
      </c>
      <c r="G41" s="3">
        <v>1.701376257092269</v>
      </c>
    </row>
    <row r="42" spans="1:7" ht="14.1" customHeight="1" x14ac:dyDescent="0.25">
      <c r="A42" s="2" t="s">
        <v>245</v>
      </c>
      <c r="B42" s="2" t="s">
        <v>246</v>
      </c>
      <c r="C42" s="2" t="s">
        <v>32</v>
      </c>
      <c r="D42" s="9">
        <v>22041825.131000001</v>
      </c>
      <c r="E42" s="9">
        <v>1370140.4008216399</v>
      </c>
      <c r="F42" s="3">
        <v>6.216093234922961</v>
      </c>
      <c r="G42" s="3">
        <v>0.80735749418825109</v>
      </c>
    </row>
    <row r="43" spans="1:7" ht="14.1" customHeight="1" x14ac:dyDescent="0.25">
      <c r="A43" s="2" t="s">
        <v>247</v>
      </c>
      <c r="B43" s="2" t="s">
        <v>248</v>
      </c>
      <c r="C43" s="2" t="s">
        <v>239</v>
      </c>
      <c r="D43" s="9">
        <v>1088197.5789999999</v>
      </c>
      <c r="E43" s="9">
        <v>159338.681495761</v>
      </c>
      <c r="F43" s="3">
        <v>14.642440359239311</v>
      </c>
      <c r="G43" s="3">
        <v>9.3890581244471888E-2</v>
      </c>
    </row>
    <row r="44" spans="1:7" ht="14.1" customHeight="1" x14ac:dyDescent="0.25">
      <c r="A44" s="2" t="s">
        <v>249</v>
      </c>
      <c r="B44" s="2" t="s">
        <v>250</v>
      </c>
      <c r="C44" s="2" t="s">
        <v>251</v>
      </c>
      <c r="D44" s="9">
        <v>27329.15</v>
      </c>
      <c r="E44" s="9">
        <v>8670.239666845162</v>
      </c>
      <c r="F44" s="3">
        <v>31.72524453503004</v>
      </c>
      <c r="G44" s="3">
        <v>5.1089530439639369E-3</v>
      </c>
    </row>
    <row r="45" spans="1:7" ht="14.1" customHeight="1" x14ac:dyDescent="0.25">
      <c r="A45" s="2" t="s">
        <v>252</v>
      </c>
      <c r="B45" s="2" t="s">
        <v>253</v>
      </c>
      <c r="C45" s="2" t="s">
        <v>7</v>
      </c>
      <c r="D45" s="9">
        <v>4509074.1390000004</v>
      </c>
      <c r="E45" s="9">
        <v>667789.9118926368</v>
      </c>
      <c r="F45" s="3">
        <v>14.80991199760437</v>
      </c>
      <c r="G45" s="3">
        <v>0.39349630854364992</v>
      </c>
    </row>
    <row r="46" spans="1:7" ht="14.1" customHeight="1" x14ac:dyDescent="0.25">
      <c r="A46" s="2" t="s">
        <v>254</v>
      </c>
      <c r="B46" s="2" t="s">
        <v>255</v>
      </c>
      <c r="C46" s="2" t="s">
        <v>39</v>
      </c>
      <c r="D46" s="9">
        <v>812414.86</v>
      </c>
      <c r="E46" s="9">
        <v>165321.69879908161</v>
      </c>
      <c r="F46" s="3">
        <v>20.349418374632091</v>
      </c>
      <c r="G46" s="3">
        <v>9.7416084072355177E-2</v>
      </c>
    </row>
    <row r="47" spans="1:7" ht="14.1" customHeight="1" x14ac:dyDescent="0.25">
      <c r="A47" s="2" t="s">
        <v>256</v>
      </c>
      <c r="B47" s="2" t="s">
        <v>257</v>
      </c>
      <c r="C47" s="2" t="s">
        <v>65</v>
      </c>
      <c r="D47" s="9">
        <v>425566.53600000002</v>
      </c>
      <c r="E47" s="9">
        <v>81864.207998814512</v>
      </c>
      <c r="F47" s="3">
        <v>19.23652380383934</v>
      </c>
      <c r="G47" s="3">
        <v>4.8238619775020052E-2</v>
      </c>
    </row>
    <row r="48" spans="1:7" ht="14.1" customHeight="1" x14ac:dyDescent="0.25">
      <c r="A48" s="2" t="s">
        <v>258</v>
      </c>
      <c r="B48" s="2" t="s">
        <v>259</v>
      </c>
      <c r="C48" s="2" t="s">
        <v>7</v>
      </c>
      <c r="D48" s="9">
        <v>11089856.833000001</v>
      </c>
      <c r="E48" s="9">
        <v>5250145.0213754363</v>
      </c>
      <c r="F48" s="3">
        <v>47.341864736726087</v>
      </c>
      <c r="G48" s="3">
        <v>3.093656625292359</v>
      </c>
    </row>
    <row r="49" spans="1:7" ht="14.1" customHeight="1" x14ac:dyDescent="0.25">
      <c r="A49" s="2" t="s">
        <v>260</v>
      </c>
      <c r="B49" s="2" t="s">
        <v>261</v>
      </c>
      <c r="C49" s="2" t="s">
        <v>21</v>
      </c>
      <c r="D49" s="9">
        <v>3929443.5430000001</v>
      </c>
      <c r="E49" s="9">
        <v>579747.81536358991</v>
      </c>
      <c r="F49" s="3">
        <v>14.75394185002011</v>
      </c>
      <c r="G49" s="3">
        <v>0.341617357748428</v>
      </c>
    </row>
    <row r="50" spans="1:7" ht="14.1" customHeight="1" x14ac:dyDescent="0.25">
      <c r="A50" s="2" t="s">
        <v>262</v>
      </c>
      <c r="B50" s="2" t="s">
        <v>263</v>
      </c>
      <c r="C50" s="2" t="s">
        <v>7</v>
      </c>
      <c r="D50" s="9">
        <v>7397559.2560000001</v>
      </c>
      <c r="E50" s="9">
        <v>2356861.0065144198</v>
      </c>
      <c r="F50" s="3">
        <v>31.859981447297251</v>
      </c>
      <c r="G50" s="3">
        <v>1.3887842408182409</v>
      </c>
    </row>
    <row r="51" spans="1:7" ht="14.1" customHeight="1" x14ac:dyDescent="0.25">
      <c r="A51" s="2" t="s">
        <v>264</v>
      </c>
      <c r="B51" s="2" t="s">
        <v>265</v>
      </c>
      <c r="C51" s="2" t="s">
        <v>266</v>
      </c>
      <c r="D51" s="9">
        <v>33468760.806000002</v>
      </c>
      <c r="E51" s="9">
        <v>522716.45554168621</v>
      </c>
      <c r="F51" s="3">
        <v>1.5618040314416961</v>
      </c>
      <c r="G51" s="3">
        <v>0.30801153477703852</v>
      </c>
    </row>
    <row r="52" spans="1:7" ht="14.1" customHeight="1" x14ac:dyDescent="0.25">
      <c r="A52" s="2" t="s">
        <v>267</v>
      </c>
      <c r="B52" s="2" t="s">
        <v>268</v>
      </c>
      <c r="C52" s="2" t="s">
        <v>266</v>
      </c>
      <c r="D52" s="9">
        <v>6778262.5669999998</v>
      </c>
      <c r="E52" s="9">
        <v>377087.03371916892</v>
      </c>
      <c r="F52" s="3">
        <v>5.5631812723664433</v>
      </c>
      <c r="G52" s="3">
        <v>0.22219915743804139</v>
      </c>
    </row>
    <row r="53" spans="1:7" ht="14.1" customHeight="1" x14ac:dyDescent="0.25">
      <c r="A53" s="2" t="s">
        <v>269</v>
      </c>
      <c r="B53" s="2" t="s">
        <v>270</v>
      </c>
      <c r="C53" s="2" t="s">
        <v>172</v>
      </c>
      <c r="D53" s="9">
        <v>25188333.427999999</v>
      </c>
      <c r="E53" s="9">
        <v>1210776.905304227</v>
      </c>
      <c r="F53" s="3">
        <v>4.8068956557415436</v>
      </c>
      <c r="G53" s="3">
        <v>0.71345229124053644</v>
      </c>
    </row>
    <row r="54" spans="1:7" ht="14.1" customHeight="1" x14ac:dyDescent="0.25">
      <c r="A54" s="2" t="s">
        <v>271</v>
      </c>
      <c r="B54" s="2" t="s">
        <v>272</v>
      </c>
      <c r="C54" s="2" t="s">
        <v>7</v>
      </c>
      <c r="D54" s="9">
        <v>28120554.324000001</v>
      </c>
      <c r="E54" s="9">
        <v>1938829.1301334449</v>
      </c>
      <c r="F54" s="3">
        <v>6.8947045203825024</v>
      </c>
      <c r="G54" s="3">
        <v>1.1424582672148309</v>
      </c>
    </row>
    <row r="55" spans="1:7" ht="14.1" customHeight="1" x14ac:dyDescent="0.25">
      <c r="A55" s="2" t="s">
        <v>273</v>
      </c>
      <c r="B55" s="2" t="s">
        <v>274</v>
      </c>
      <c r="C55" s="2" t="s">
        <v>275</v>
      </c>
      <c r="D55" s="9">
        <v>19958349.473999999</v>
      </c>
      <c r="E55" s="9">
        <v>3457353.6730538048</v>
      </c>
      <c r="F55" s="3">
        <v>17.322843642745831</v>
      </c>
      <c r="G55" s="3">
        <v>2.0372513622146879</v>
      </c>
    </row>
    <row r="56" spans="1:7" ht="14.1" customHeight="1" x14ac:dyDescent="0.25">
      <c r="A56" s="2" t="s">
        <v>276</v>
      </c>
      <c r="B56" s="2" t="s">
        <v>277</v>
      </c>
      <c r="C56" s="2" t="s">
        <v>10</v>
      </c>
      <c r="D56" s="9">
        <v>3996590.9589999998</v>
      </c>
      <c r="E56" s="9">
        <v>1051370.1123994361</v>
      </c>
      <c r="F56" s="3">
        <v>26.306672941643821</v>
      </c>
      <c r="G56" s="3">
        <v>0.61952157523579698</v>
      </c>
    </row>
    <row r="57" spans="1:7" ht="14.1" customHeight="1" x14ac:dyDescent="0.25">
      <c r="A57" s="2" t="s">
        <v>278</v>
      </c>
      <c r="B57" s="2" t="s">
        <v>279</v>
      </c>
      <c r="C57" s="2" t="s">
        <v>280</v>
      </c>
      <c r="D57" s="9">
        <v>8681126.0700000003</v>
      </c>
      <c r="E57" s="9">
        <v>286633.49084096868</v>
      </c>
      <c r="F57" s="3">
        <v>3.3018008093616911</v>
      </c>
      <c r="G57" s="3">
        <v>0.168899257898695</v>
      </c>
    </row>
    <row r="58" spans="1:7" ht="14.1" customHeight="1" x14ac:dyDescent="0.25">
      <c r="A58" s="2" t="s">
        <v>281</v>
      </c>
      <c r="B58" s="2" t="s">
        <v>282</v>
      </c>
      <c r="C58" s="2" t="s">
        <v>172</v>
      </c>
      <c r="D58" s="9">
        <v>2701977.1570000001</v>
      </c>
      <c r="E58" s="9">
        <v>113803.764018327</v>
      </c>
      <c r="F58" s="3">
        <v>4.2118699532117096</v>
      </c>
      <c r="G58" s="3">
        <v>6.7059055912758375E-2</v>
      </c>
    </row>
    <row r="59" spans="1:7" ht="14.1" customHeight="1" x14ac:dyDescent="0.25">
      <c r="A59" s="2" t="s">
        <v>283</v>
      </c>
      <c r="B59" s="2" t="s">
        <v>284</v>
      </c>
      <c r="C59" s="2" t="s">
        <v>285</v>
      </c>
      <c r="D59" s="9">
        <v>2458214.7200000002</v>
      </c>
      <c r="E59" s="9">
        <v>237378.73763117159</v>
      </c>
      <c r="F59" s="3">
        <v>9.6565501662593416</v>
      </c>
      <c r="G59" s="3">
        <v>0.13987581321778811</v>
      </c>
    </row>
    <row r="60" spans="1:7" ht="14.1" customHeight="1" x14ac:dyDescent="0.25">
      <c r="A60" s="2" t="s">
        <v>286</v>
      </c>
      <c r="B60" s="2" t="s">
        <v>287</v>
      </c>
      <c r="C60" s="2" t="s">
        <v>172</v>
      </c>
      <c r="D60" s="9">
        <v>3002212.7280000001</v>
      </c>
      <c r="E60" s="9">
        <v>319332.49444765091</v>
      </c>
      <c r="F60" s="3">
        <v>10.636571201947509</v>
      </c>
      <c r="G60" s="3">
        <v>0.18816719978152111</v>
      </c>
    </row>
    <row r="61" spans="1:7" ht="14.1" customHeight="1" x14ac:dyDescent="0.25">
      <c r="A61" s="2" t="s">
        <v>288</v>
      </c>
      <c r="B61" s="2" t="s">
        <v>289</v>
      </c>
      <c r="C61" s="2" t="s">
        <v>7</v>
      </c>
      <c r="D61" s="9">
        <v>8420100.3920000009</v>
      </c>
      <c r="E61" s="9">
        <v>5199177.8605501913</v>
      </c>
      <c r="F61" s="3">
        <v>61.747219373892129</v>
      </c>
      <c r="G61" s="3">
        <v>3.0636241415957359</v>
      </c>
    </row>
    <row r="62" spans="1:7" ht="14.1" customHeight="1" x14ac:dyDescent="0.25">
      <c r="A62" s="2" t="s">
        <v>290</v>
      </c>
      <c r="B62" s="2" t="s">
        <v>291</v>
      </c>
      <c r="C62" s="2" t="s">
        <v>239</v>
      </c>
      <c r="D62" s="9">
        <v>19722773.666000001</v>
      </c>
      <c r="E62" s="9">
        <v>10834288.81784118</v>
      </c>
      <c r="F62" s="3">
        <v>54.932886222379373</v>
      </c>
      <c r="G62" s="3">
        <v>6.3841225804586124</v>
      </c>
    </row>
    <row r="63" spans="1:7" ht="14.1" customHeight="1" x14ac:dyDescent="0.25">
      <c r="A63" s="2" t="s">
        <v>292</v>
      </c>
      <c r="B63" s="2" t="s">
        <v>293</v>
      </c>
      <c r="C63" s="2" t="s">
        <v>236</v>
      </c>
      <c r="D63" s="9">
        <v>12540703.27</v>
      </c>
      <c r="E63" s="9">
        <v>1487820.3816331769</v>
      </c>
      <c r="F63" s="3">
        <v>11.863930990157121</v>
      </c>
      <c r="G63" s="3">
        <v>0.87670061724859516</v>
      </c>
    </row>
    <row r="64" spans="1:7" ht="14.1" customHeight="1" x14ac:dyDescent="0.25">
      <c r="A64" s="2" t="s">
        <v>294</v>
      </c>
      <c r="B64" s="2" t="s">
        <v>295</v>
      </c>
      <c r="C64" s="2" t="s">
        <v>296</v>
      </c>
      <c r="D64" s="9">
        <v>5816.5190000000002</v>
      </c>
      <c r="E64" s="9">
        <v>1958.1251229622021</v>
      </c>
      <c r="F64" s="3">
        <v>33.664896873236408</v>
      </c>
      <c r="G64" s="3">
        <v>1.1538284628595671E-3</v>
      </c>
    </row>
    <row r="65" spans="1:7" ht="14.1" customHeight="1" x14ac:dyDescent="0.25">
      <c r="A65" s="2" t="s">
        <v>297</v>
      </c>
      <c r="B65" s="2" t="s">
        <v>298</v>
      </c>
      <c r="C65" s="2" t="s">
        <v>7</v>
      </c>
      <c r="D65" s="9">
        <v>17823125.776000001</v>
      </c>
      <c r="E65" s="9">
        <v>1504488.345742129</v>
      </c>
      <c r="F65" s="3">
        <v>8.4412148836879162</v>
      </c>
      <c r="G65" s="3">
        <v>0.88652224262958046</v>
      </c>
    </row>
    <row r="66" spans="1:7" ht="14.1" customHeight="1" x14ac:dyDescent="0.25">
      <c r="A66" s="2" t="s">
        <v>299</v>
      </c>
      <c r="B66" s="2" t="s">
        <v>300</v>
      </c>
      <c r="C66" s="2" t="s">
        <v>21</v>
      </c>
      <c r="D66" s="9">
        <v>2851777.2059999998</v>
      </c>
      <c r="E66" s="9">
        <v>1217059.2808890899</v>
      </c>
      <c r="F66" s="3">
        <v>42.677221710323529</v>
      </c>
      <c r="G66" s="3">
        <v>0.71715419143025605</v>
      </c>
    </row>
    <row r="67" spans="1:7" ht="14.1" customHeight="1" x14ac:dyDescent="0.25">
      <c r="A67" s="2" t="s">
        <v>301</v>
      </c>
      <c r="B67" s="2" t="s">
        <v>302</v>
      </c>
      <c r="C67" s="2" t="s">
        <v>303</v>
      </c>
      <c r="D67" s="9">
        <v>9704469.1359999999</v>
      </c>
      <c r="E67" s="9">
        <v>568939.66972267046</v>
      </c>
      <c r="F67" s="3">
        <v>5.8626562849493151</v>
      </c>
      <c r="G67" s="3">
        <v>0.3352486400781502</v>
      </c>
    </row>
    <row r="68" spans="1:7" ht="14.1" customHeight="1" x14ac:dyDescent="0.25">
      <c r="A68" s="2" t="s">
        <v>304</v>
      </c>
      <c r="B68" s="2" t="s">
        <v>305</v>
      </c>
      <c r="C68" s="2" t="s">
        <v>306</v>
      </c>
      <c r="D68" s="9">
        <v>27984282.691</v>
      </c>
      <c r="E68" s="9">
        <v>8641220.5621757414</v>
      </c>
      <c r="F68" s="3">
        <v>30.878835300483999</v>
      </c>
      <c r="G68" s="3">
        <v>5.0918534886078293</v>
      </c>
    </row>
    <row r="69" spans="1:7" ht="14.1" customHeight="1" x14ac:dyDescent="0.25">
      <c r="A69" s="2" t="s">
        <v>307</v>
      </c>
      <c r="B69" s="2" t="s">
        <v>308</v>
      </c>
      <c r="C69" s="2" t="s">
        <v>41</v>
      </c>
      <c r="D69" s="9">
        <v>1749236.9909999999</v>
      </c>
      <c r="E69" s="9">
        <v>155996.2004153961</v>
      </c>
      <c r="F69" s="3">
        <v>8.9179568702246854</v>
      </c>
      <c r="G69" s="3">
        <v>9.192101874722941E-2</v>
      </c>
    </row>
    <row r="70" spans="1:7" ht="14.1" customHeight="1" x14ac:dyDescent="0.25">
      <c r="A70" s="2" t="s">
        <v>309</v>
      </c>
      <c r="B70" s="2" t="s">
        <v>310</v>
      </c>
      <c r="C70" s="2" t="s">
        <v>280</v>
      </c>
      <c r="D70" s="9">
        <v>2532052.841</v>
      </c>
      <c r="E70" s="9">
        <v>931846.73356702528</v>
      </c>
      <c r="F70" s="3">
        <v>36.802025553266297</v>
      </c>
      <c r="G70" s="3">
        <v>0.54909222684698888</v>
      </c>
    </row>
    <row r="71" spans="1:7" ht="14.1" customHeight="1" x14ac:dyDescent="0.25">
      <c r="A71" s="2" t="s">
        <v>311</v>
      </c>
      <c r="B71" s="2" t="s">
        <v>312</v>
      </c>
      <c r="C71" s="2" t="s">
        <v>163</v>
      </c>
      <c r="D71" s="9">
        <v>8375961.0839999998</v>
      </c>
      <c r="E71" s="9">
        <v>1573268.4685552169</v>
      </c>
      <c r="F71" s="3">
        <v>18.78313966334585</v>
      </c>
      <c r="G71" s="3">
        <v>0.9270510435984699</v>
      </c>
    </row>
    <row r="72" spans="1:7" ht="14.1" customHeight="1" x14ac:dyDescent="0.25">
      <c r="A72" s="2" t="s">
        <v>313</v>
      </c>
      <c r="B72" s="2" t="s">
        <v>314</v>
      </c>
      <c r="C72" s="2" t="s">
        <v>315</v>
      </c>
      <c r="D72" s="9">
        <v>7804921.0599999996</v>
      </c>
      <c r="E72" s="9">
        <v>1138898.807174366</v>
      </c>
      <c r="F72" s="3">
        <v>14.59206055281186</v>
      </c>
      <c r="G72" s="3">
        <v>0.67109800319944068</v>
      </c>
    </row>
    <row r="73" spans="1:7" ht="14.1" customHeight="1" x14ac:dyDescent="0.25">
      <c r="A73" s="2" t="s">
        <v>316</v>
      </c>
      <c r="B73" s="2" t="s">
        <v>317</v>
      </c>
      <c r="C73" s="2" t="s">
        <v>285</v>
      </c>
      <c r="D73" s="9">
        <v>2440340.3760000002</v>
      </c>
      <c r="E73" s="9">
        <v>54410.934583852031</v>
      </c>
      <c r="F73" s="3">
        <v>2.2296453035390842</v>
      </c>
      <c r="G73" s="3">
        <v>3.2061733071819809E-2</v>
      </c>
    </row>
    <row r="74" spans="1:7" ht="14.1" customHeight="1" x14ac:dyDescent="0.25">
      <c r="A74" s="2" t="s">
        <v>318</v>
      </c>
      <c r="B74" s="2" t="s">
        <v>319</v>
      </c>
      <c r="C74" s="2" t="s">
        <v>39</v>
      </c>
      <c r="D74" s="9">
        <v>13166371.955</v>
      </c>
      <c r="E74" s="9">
        <v>944522.03615123278</v>
      </c>
      <c r="F74" s="3">
        <v>7.1737456558224109</v>
      </c>
      <c r="G74" s="3">
        <v>0.55656116983000503</v>
      </c>
    </row>
    <row r="75" spans="1:7" ht="14.1" customHeight="1" x14ac:dyDescent="0.25">
      <c r="A75" s="2" t="s">
        <v>320</v>
      </c>
      <c r="B75" s="2" t="s">
        <v>321</v>
      </c>
      <c r="C75" s="2" t="s">
        <v>21</v>
      </c>
      <c r="D75" s="9">
        <v>9857530.8310000002</v>
      </c>
      <c r="E75" s="9">
        <v>68871.308865793777</v>
      </c>
      <c r="F75" s="3">
        <v>0.69866693847111305</v>
      </c>
      <c r="G75" s="3">
        <v>4.0582532501054723E-2</v>
      </c>
    </row>
    <row r="76" spans="1:7" ht="14.1" customHeight="1" x14ac:dyDescent="0.25">
      <c r="A76" s="2" t="s">
        <v>322</v>
      </c>
      <c r="B76" s="2" t="s">
        <v>323</v>
      </c>
      <c r="C76" s="2" t="s">
        <v>122</v>
      </c>
      <c r="D76" s="9">
        <v>49163.837</v>
      </c>
      <c r="E76" s="9">
        <v>0</v>
      </c>
      <c r="F76" s="3">
        <v>0</v>
      </c>
      <c r="G76" s="3">
        <v>0</v>
      </c>
    </row>
    <row r="77" spans="1:7" ht="14.1" customHeight="1" x14ac:dyDescent="0.25">
      <c r="A77" s="2" t="s">
        <v>324</v>
      </c>
      <c r="B77" s="2" t="s">
        <v>325</v>
      </c>
      <c r="C77" s="2" t="s">
        <v>7</v>
      </c>
      <c r="D77" s="9">
        <v>1525798.379</v>
      </c>
      <c r="E77" s="9">
        <v>175849.90136451341</v>
      </c>
      <c r="F77" s="3">
        <v>11.52510736574281</v>
      </c>
      <c r="G77" s="3">
        <v>0.1036198448230316</v>
      </c>
    </row>
    <row r="78" spans="1:7" ht="14.1" customHeight="1" x14ac:dyDescent="0.25">
      <c r="A78" s="2" t="s">
        <v>326</v>
      </c>
      <c r="B78" s="2" t="s">
        <v>327</v>
      </c>
      <c r="C78" s="2" t="s">
        <v>328</v>
      </c>
      <c r="D78" s="9">
        <v>3629596.6170000001</v>
      </c>
      <c r="E78" s="9">
        <v>1534494.9955301031</v>
      </c>
      <c r="F78" s="3">
        <v>42.277287463377178</v>
      </c>
      <c r="G78" s="3">
        <v>0.90420371057788351</v>
      </c>
    </row>
    <row r="79" spans="1:7" ht="14.1" customHeight="1" x14ac:dyDescent="0.25">
      <c r="A79" s="2" t="s">
        <v>329</v>
      </c>
      <c r="B79" s="2" t="s">
        <v>330</v>
      </c>
      <c r="C79" s="2" t="s">
        <v>236</v>
      </c>
      <c r="D79" s="9">
        <v>25997277.469000001</v>
      </c>
      <c r="E79" s="9">
        <v>11608908.3315778</v>
      </c>
      <c r="F79" s="3">
        <v>44.654323305279348</v>
      </c>
      <c r="G79" s="3">
        <v>6.8405684083348541</v>
      </c>
    </row>
    <row r="80" spans="1:7" ht="14.1" customHeight="1" x14ac:dyDescent="0.25">
      <c r="A80" s="2" t="s">
        <v>331</v>
      </c>
      <c r="B80" s="2" t="s">
        <v>332</v>
      </c>
      <c r="C80" s="2" t="s">
        <v>65</v>
      </c>
      <c r="D80" s="9">
        <v>767849.44</v>
      </c>
      <c r="E80" s="9">
        <v>454499.74813362199</v>
      </c>
      <c r="F80" s="3">
        <v>59.191258657898103</v>
      </c>
      <c r="G80" s="3">
        <v>0.26781472726612909</v>
      </c>
    </row>
    <row r="81" spans="1:7" ht="14.1" customHeight="1" x14ac:dyDescent="0.25">
      <c r="A81" s="2" t="s">
        <v>333</v>
      </c>
      <c r="B81" s="2" t="s">
        <v>334</v>
      </c>
      <c r="C81" s="2" t="s">
        <v>65</v>
      </c>
      <c r="D81" s="9">
        <v>415444.516</v>
      </c>
      <c r="E81" s="9">
        <v>27140.312732754181</v>
      </c>
      <c r="F81" s="3">
        <v>6.5328369222604392</v>
      </c>
      <c r="G81" s="3">
        <v>1.5992474104304811E-2</v>
      </c>
    </row>
    <row r="82" spans="1:7" ht="14.1" customHeight="1" x14ac:dyDescent="0.25">
      <c r="A82" s="2" t="s">
        <v>335</v>
      </c>
      <c r="B82" s="2" t="s">
        <v>336</v>
      </c>
      <c r="C82" s="2" t="s">
        <v>65</v>
      </c>
      <c r="D82" s="9">
        <v>623103.44999999995</v>
      </c>
      <c r="E82" s="9">
        <v>89375.125812824874</v>
      </c>
      <c r="F82" s="3">
        <v>14.34354533148948</v>
      </c>
      <c r="G82" s="3">
        <v>5.2664440502397242E-2</v>
      </c>
    </row>
    <row r="83" spans="1:7" ht="14.1" customHeight="1" x14ac:dyDescent="0.25">
      <c r="A83" s="2" t="s">
        <v>337</v>
      </c>
      <c r="B83" s="2" t="s">
        <v>338</v>
      </c>
      <c r="C83" s="2" t="s">
        <v>65</v>
      </c>
      <c r="D83" s="9">
        <v>1131822.091</v>
      </c>
      <c r="E83" s="9">
        <v>183570.76978712401</v>
      </c>
      <c r="F83" s="3">
        <v>16.219048138999781</v>
      </c>
      <c r="G83" s="3">
        <v>0.10816937929329321</v>
      </c>
    </row>
    <row r="84" spans="1:7" ht="14.1" customHeight="1" x14ac:dyDescent="0.25">
      <c r="A84" s="2" t="s">
        <v>339</v>
      </c>
      <c r="B84" s="2" t="s">
        <v>340</v>
      </c>
      <c r="C84" s="2" t="s">
        <v>65</v>
      </c>
      <c r="D84" s="9">
        <v>757227.52599999995</v>
      </c>
      <c r="E84" s="9">
        <v>416117.65184770839</v>
      </c>
      <c r="F84" s="3">
        <v>54.952789955460283</v>
      </c>
      <c r="G84" s="3">
        <v>0.2451980136355372</v>
      </c>
    </row>
    <row r="85" spans="1:7" ht="14.1" customHeight="1" x14ac:dyDescent="0.25">
      <c r="A85" s="2" t="s">
        <v>341</v>
      </c>
      <c r="B85" s="2" t="s">
        <v>342</v>
      </c>
      <c r="C85" s="2" t="s">
        <v>65</v>
      </c>
      <c r="D85" s="9">
        <v>1565077.425</v>
      </c>
      <c r="E85" s="9">
        <v>1349516.2300797279</v>
      </c>
      <c r="F85" s="3">
        <v>86.226803129546639</v>
      </c>
      <c r="G85" s="3">
        <v>0.79520466751449148</v>
      </c>
    </row>
    <row r="86" spans="1:7" ht="14.1" customHeight="1" x14ac:dyDescent="0.25">
      <c r="A86" s="2" t="s">
        <v>343</v>
      </c>
      <c r="B86" s="2" t="s">
        <v>344</v>
      </c>
      <c r="C86" s="2" t="s">
        <v>21</v>
      </c>
      <c r="D86" s="9">
        <v>1010579.627</v>
      </c>
      <c r="E86" s="9">
        <v>204361.16993828319</v>
      </c>
      <c r="F86" s="3">
        <v>20.22217393645154</v>
      </c>
      <c r="G86" s="3">
        <v>0.1204201569210058</v>
      </c>
    </row>
    <row r="87" spans="1:7" ht="14.1" customHeight="1" x14ac:dyDescent="0.25">
      <c r="A87" s="2" t="s">
        <v>345</v>
      </c>
      <c r="B87" s="2" t="s">
        <v>346</v>
      </c>
      <c r="C87" s="2" t="s">
        <v>347</v>
      </c>
      <c r="D87" s="9">
        <v>7301242.1220000004</v>
      </c>
      <c r="E87" s="9">
        <v>1489919.496033018</v>
      </c>
      <c r="F87" s="3">
        <v>20.406383888347069</v>
      </c>
      <c r="G87" s="3">
        <v>0.87793752387572122</v>
      </c>
    </row>
    <row r="88" spans="1:7" ht="14.1" customHeight="1" x14ac:dyDescent="0.25">
      <c r="A88" s="2" t="s">
        <v>348</v>
      </c>
      <c r="B88" s="2" t="s">
        <v>349</v>
      </c>
      <c r="C88" s="2" t="s">
        <v>41</v>
      </c>
      <c r="D88" s="9">
        <v>3469788.6159999999</v>
      </c>
      <c r="E88" s="9">
        <v>403076.48195158812</v>
      </c>
      <c r="F88" s="3">
        <v>11.61674460781008</v>
      </c>
      <c r="G88" s="3">
        <v>0.23751348273468861</v>
      </c>
    </row>
    <row r="89" spans="1:7" ht="14.1" customHeight="1" x14ac:dyDescent="0.25">
      <c r="A89" s="2" t="s">
        <v>350</v>
      </c>
      <c r="B89" s="2" t="s">
        <v>351</v>
      </c>
      <c r="C89" s="2" t="s">
        <v>7</v>
      </c>
      <c r="D89" s="9">
        <v>844771.08200000005</v>
      </c>
      <c r="E89" s="9">
        <v>396536.70373224822</v>
      </c>
      <c r="F89" s="3">
        <v>46.940137059787297</v>
      </c>
      <c r="G89" s="3">
        <v>0.233659907617462</v>
      </c>
    </row>
    <row r="90" spans="1:7" ht="14.1" customHeight="1" x14ac:dyDescent="0.25">
      <c r="A90" s="2" t="s">
        <v>352</v>
      </c>
      <c r="B90" s="2" t="s">
        <v>353</v>
      </c>
      <c r="C90" s="2" t="s">
        <v>32</v>
      </c>
      <c r="D90" s="9">
        <v>1989106.7350000001</v>
      </c>
      <c r="E90" s="9">
        <v>1055287.639915236</v>
      </c>
      <c r="F90" s="3">
        <v>53.053344063773253</v>
      </c>
      <c r="G90" s="3">
        <v>0.62182998479489993</v>
      </c>
    </row>
    <row r="91" spans="1:7" ht="14.1" customHeight="1" x14ac:dyDescent="0.25">
      <c r="A91" s="2" t="s">
        <v>354</v>
      </c>
      <c r="B91" s="2" t="s">
        <v>355</v>
      </c>
      <c r="C91" s="2" t="s">
        <v>7</v>
      </c>
      <c r="D91" s="9">
        <v>5087577.33</v>
      </c>
      <c r="E91" s="9">
        <v>1747512.192722122</v>
      </c>
      <c r="F91" s="3">
        <v>34.348611910378999</v>
      </c>
      <c r="G91" s="3">
        <v>1.0297244458549539</v>
      </c>
    </row>
    <row r="92" spans="1:7" x14ac:dyDescent="0.25">
      <c r="A92" s="4" t="s">
        <v>97</v>
      </c>
      <c r="B92" s="4"/>
      <c r="C92" s="4"/>
      <c r="D92" s="5">
        <f>SUM(D3:D91)</f>
        <v>768928319.47500002</v>
      </c>
      <c r="E92" s="5">
        <f>SUM(E3:E91)</f>
        <v>169706779.2996996</v>
      </c>
      <c r="F92" s="10">
        <f>SUM(E92/D92) * 100</f>
        <v>22.070559114739076</v>
      </c>
      <c r="G92" s="4"/>
    </row>
    <row r="93" spans="1:7" x14ac:dyDescent="0.25">
      <c r="A93" s="11"/>
    </row>
    <row r="95" spans="1:7" ht="42.95" customHeight="1" x14ac:dyDescent="0.25">
      <c r="A95" s="46" t="s">
        <v>356</v>
      </c>
      <c r="B95" s="46"/>
      <c r="C95" s="46"/>
      <c r="D95" s="46"/>
      <c r="E95" s="46"/>
      <c r="F95" s="46"/>
    </row>
    <row r="96" spans="1:7" ht="25.5" customHeight="1" x14ac:dyDescent="0.25">
      <c r="A96" s="46" t="s">
        <v>1211</v>
      </c>
      <c r="B96" s="46"/>
      <c r="C96" s="46"/>
      <c r="D96" s="46"/>
      <c r="E96" s="46"/>
      <c r="F96" s="46"/>
    </row>
    <row r="97" spans="1:6" x14ac:dyDescent="0.25">
      <c r="A97" s="22"/>
      <c r="B97" s="22"/>
      <c r="C97" s="22"/>
      <c r="D97" s="22"/>
      <c r="E97" s="22"/>
      <c r="F97" s="22"/>
    </row>
    <row r="98" spans="1:6" ht="32.450000000000003" customHeight="1" x14ac:dyDescent="0.25">
      <c r="A98" s="46" t="s">
        <v>363</v>
      </c>
      <c r="B98" s="46"/>
      <c r="C98" s="46"/>
      <c r="D98" s="46"/>
      <c r="E98" s="46"/>
      <c r="F98" s="46"/>
    </row>
    <row r="99" spans="1:6" ht="32.450000000000003" customHeight="1" x14ac:dyDescent="0.25">
      <c r="A99" s="46" t="s">
        <v>1212</v>
      </c>
      <c r="B99" s="46"/>
      <c r="C99" s="46"/>
      <c r="D99" s="46"/>
      <c r="E99" s="46"/>
      <c r="F99" s="46"/>
    </row>
    <row r="100" spans="1:6" ht="36.950000000000003" customHeight="1" x14ac:dyDescent="0.25">
      <c r="A100" s="46" t="s">
        <v>1208</v>
      </c>
      <c r="B100" s="46"/>
      <c r="C100" s="46"/>
      <c r="D100" s="46"/>
      <c r="E100" s="46"/>
      <c r="F100" s="46"/>
    </row>
    <row r="101" spans="1:6" ht="39.950000000000003" customHeight="1" x14ac:dyDescent="0.25">
      <c r="A101" s="46" t="s">
        <v>113</v>
      </c>
      <c r="B101" s="46"/>
      <c r="C101" s="46"/>
      <c r="D101" s="46"/>
      <c r="E101" s="46"/>
      <c r="F101" s="46"/>
    </row>
  </sheetData>
  <mergeCells count="7">
    <mergeCell ref="A99:F99"/>
    <mergeCell ref="A100:F100"/>
    <mergeCell ref="A101:F101"/>
    <mergeCell ref="A1:G1"/>
    <mergeCell ref="A95:F95"/>
    <mergeCell ref="A96:F96"/>
    <mergeCell ref="A98:F9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99"/>
  <sheetViews>
    <sheetView workbookViewId="0">
      <selection activeCell="B76" sqref="B76"/>
    </sheetView>
  </sheetViews>
  <sheetFormatPr defaultRowHeight="15" x14ac:dyDescent="0.25"/>
  <cols>
    <col min="1" max="1" width="26.7109375" customWidth="1"/>
    <col min="2" max="2" width="19.85546875" customWidth="1"/>
    <col min="3" max="9" width="12.7109375" customWidth="1"/>
    <col min="10" max="10" width="11.85546875" customWidth="1"/>
    <col min="11" max="12" width="12.7109375" customWidth="1"/>
    <col min="13" max="13" width="14.28515625" customWidth="1"/>
    <col min="14" max="14" width="17.28515625" customWidth="1"/>
    <col min="15" max="15" width="21.5703125" customWidth="1"/>
  </cols>
  <sheetData>
    <row r="1" spans="1:15" s="25" customFormat="1" ht="23.1" customHeight="1" thickBot="1" x14ac:dyDescent="0.3">
      <c r="A1" s="38" t="s">
        <v>358</v>
      </c>
      <c r="B1" s="38"/>
      <c r="C1" s="38"/>
      <c r="D1" s="38"/>
      <c r="E1" s="38"/>
      <c r="F1" s="38"/>
      <c r="G1" s="38"/>
      <c r="H1" s="38"/>
      <c r="I1" s="38"/>
      <c r="J1" s="38"/>
      <c r="K1" s="38"/>
      <c r="L1" s="38"/>
      <c r="M1" s="38"/>
      <c r="N1" s="38"/>
      <c r="O1" s="38"/>
    </row>
    <row r="2" spans="1:15" s="25" customFormat="1" ht="27.95" customHeight="1" x14ac:dyDescent="0.25">
      <c r="A2" s="26" t="s">
        <v>151</v>
      </c>
      <c r="B2" s="26" t="s">
        <v>152</v>
      </c>
      <c r="C2" s="26" t="s">
        <v>138</v>
      </c>
      <c r="D2" s="26" t="s">
        <v>139</v>
      </c>
      <c r="E2" s="26" t="s">
        <v>140</v>
      </c>
      <c r="F2" s="26" t="s">
        <v>141</v>
      </c>
      <c r="G2" s="26" t="s">
        <v>142</v>
      </c>
      <c r="H2" s="26" t="s">
        <v>143</v>
      </c>
      <c r="I2" s="26" t="s">
        <v>144</v>
      </c>
      <c r="J2" s="26" t="s">
        <v>145</v>
      </c>
      <c r="K2" s="26" t="s">
        <v>146</v>
      </c>
      <c r="L2" s="26" t="s">
        <v>359</v>
      </c>
      <c r="M2" s="26" t="s">
        <v>360</v>
      </c>
      <c r="N2" s="26" t="s">
        <v>361</v>
      </c>
      <c r="O2" s="26" t="s">
        <v>155</v>
      </c>
    </row>
    <row r="3" spans="1:15" ht="14.1" customHeight="1" x14ac:dyDescent="0.25">
      <c r="A3" s="2" t="s">
        <v>157</v>
      </c>
      <c r="B3" s="2" t="s">
        <v>158</v>
      </c>
      <c r="C3" s="9">
        <v>0</v>
      </c>
      <c r="D3" s="9">
        <v>0</v>
      </c>
      <c r="E3" s="9">
        <v>0</v>
      </c>
      <c r="F3" s="9">
        <v>0</v>
      </c>
      <c r="G3" s="9">
        <v>0</v>
      </c>
      <c r="H3" s="9">
        <v>475481.21041209903</v>
      </c>
      <c r="I3" s="9">
        <v>1333615.3791547101</v>
      </c>
      <c r="J3" s="9">
        <v>0</v>
      </c>
      <c r="K3" s="9">
        <v>0</v>
      </c>
      <c r="L3" s="3">
        <v>0</v>
      </c>
      <c r="M3" s="33">
        <v>1809096.5895668089</v>
      </c>
      <c r="N3" s="3">
        <v>3335668.5649999999</v>
      </c>
      <c r="O3" s="34">
        <v>54.234902368569379</v>
      </c>
    </row>
    <row r="4" spans="1:15" ht="14.1" customHeight="1" x14ac:dyDescent="0.25">
      <c r="A4" s="2" t="s">
        <v>159</v>
      </c>
      <c r="B4" s="2" t="s">
        <v>160</v>
      </c>
      <c r="C4" s="9">
        <v>0</v>
      </c>
      <c r="D4" s="9">
        <v>0</v>
      </c>
      <c r="E4" s="9">
        <v>486385.26166151481</v>
      </c>
      <c r="F4" s="9">
        <v>0</v>
      </c>
      <c r="G4" s="9">
        <v>0</v>
      </c>
      <c r="H4" s="9">
        <v>0</v>
      </c>
      <c r="I4" s="9">
        <v>1242261.6410572359</v>
      </c>
      <c r="J4" s="9">
        <v>0</v>
      </c>
      <c r="K4" s="9">
        <v>0</v>
      </c>
      <c r="L4" s="3">
        <v>0</v>
      </c>
      <c r="M4" s="33">
        <v>1728646.902718751</v>
      </c>
      <c r="N4" s="3">
        <v>2306022.6039999998</v>
      </c>
      <c r="O4" s="34">
        <v>74.962270522425058</v>
      </c>
    </row>
    <row r="5" spans="1:15" ht="14.1" customHeight="1" x14ac:dyDescent="0.25">
      <c r="A5" s="2" t="s">
        <v>161</v>
      </c>
      <c r="B5" s="2" t="s">
        <v>162</v>
      </c>
      <c r="C5" s="9">
        <v>11078.33215399568</v>
      </c>
      <c r="D5" s="9">
        <v>27678.37693015339</v>
      </c>
      <c r="E5" s="9">
        <v>738626.96689452603</v>
      </c>
      <c r="F5" s="9">
        <v>10298.764955527429</v>
      </c>
      <c r="G5" s="9">
        <v>244.13145901112361</v>
      </c>
      <c r="H5" s="9">
        <v>1.7763023682931429E-3</v>
      </c>
      <c r="I5" s="9">
        <v>885.80514773615505</v>
      </c>
      <c r="J5" s="9">
        <v>0</v>
      </c>
      <c r="K5" s="9">
        <v>894.42981921569776</v>
      </c>
      <c r="L5" s="3">
        <v>0</v>
      </c>
      <c r="M5" s="33">
        <v>789706.80913646787</v>
      </c>
      <c r="N5" s="3">
        <v>1232980.52</v>
      </c>
      <c r="O5" s="34">
        <v>64.048603877088652</v>
      </c>
    </row>
    <row r="6" spans="1:15" ht="14.1" customHeight="1" x14ac:dyDescent="0.25">
      <c r="A6" s="2" t="s">
        <v>164</v>
      </c>
      <c r="B6" s="2" t="s">
        <v>165</v>
      </c>
      <c r="C6" s="9">
        <v>189889.4535508733</v>
      </c>
      <c r="D6" s="9">
        <v>0</v>
      </c>
      <c r="E6" s="9">
        <v>206540.3725763172</v>
      </c>
      <c r="F6" s="9">
        <v>0</v>
      </c>
      <c r="G6" s="9">
        <v>6781.1311758158326</v>
      </c>
      <c r="H6" s="9">
        <v>0</v>
      </c>
      <c r="I6" s="9">
        <v>5111.4624139766111</v>
      </c>
      <c r="J6" s="9">
        <v>0</v>
      </c>
      <c r="K6" s="9">
        <v>0</v>
      </c>
      <c r="L6" s="3">
        <v>0</v>
      </c>
      <c r="M6" s="33">
        <v>408322.41971698293</v>
      </c>
      <c r="N6" s="3">
        <v>9517104.3010000009</v>
      </c>
      <c r="O6" s="34">
        <v>4.2904060605291336</v>
      </c>
    </row>
    <row r="7" spans="1:15" ht="14.1" customHeight="1" x14ac:dyDescent="0.25">
      <c r="A7" s="2" t="s">
        <v>166</v>
      </c>
      <c r="B7" s="2" t="s">
        <v>167</v>
      </c>
      <c r="C7" s="9">
        <v>27.76881523274486</v>
      </c>
      <c r="D7" s="9">
        <v>0</v>
      </c>
      <c r="E7" s="9">
        <v>19950.384365481441</v>
      </c>
      <c r="F7" s="9">
        <v>5819.7421771638619</v>
      </c>
      <c r="G7" s="9">
        <v>60663.108818783643</v>
      </c>
      <c r="H7" s="9">
        <v>601.04642204475113</v>
      </c>
      <c r="I7" s="9">
        <v>19009.625157910199</v>
      </c>
      <c r="J7" s="9">
        <v>0</v>
      </c>
      <c r="K7" s="9">
        <v>0</v>
      </c>
      <c r="L7" s="3">
        <v>0</v>
      </c>
      <c r="M7" s="33">
        <v>106071.67575661661</v>
      </c>
      <c r="N7" s="3">
        <v>657499.64399999997</v>
      </c>
      <c r="O7" s="34">
        <v>16.132582994465722</v>
      </c>
    </row>
    <row r="8" spans="1:15" ht="14.1" customHeight="1" x14ac:dyDescent="0.25">
      <c r="A8" s="2" t="s">
        <v>168</v>
      </c>
      <c r="B8" s="2" t="s">
        <v>169</v>
      </c>
      <c r="C8" s="9">
        <v>23938.253950674451</v>
      </c>
      <c r="D8" s="9">
        <v>0</v>
      </c>
      <c r="E8" s="9">
        <v>220657.08377888909</v>
      </c>
      <c r="F8" s="9">
        <v>33835.143709545213</v>
      </c>
      <c r="G8" s="9">
        <v>597.94467284010614</v>
      </c>
      <c r="H8" s="9">
        <v>0</v>
      </c>
      <c r="I8" s="9">
        <v>49487.573484534179</v>
      </c>
      <c r="J8" s="9">
        <v>0</v>
      </c>
      <c r="K8" s="9">
        <v>0</v>
      </c>
      <c r="L8" s="3">
        <v>0</v>
      </c>
      <c r="M8" s="33">
        <v>328515.99959648302</v>
      </c>
      <c r="N8" s="3">
        <v>13674532.530999999</v>
      </c>
      <c r="O8" s="34">
        <v>2.402392907046301</v>
      </c>
    </row>
    <row r="9" spans="1:15" ht="14.1" customHeight="1" x14ac:dyDescent="0.25">
      <c r="A9" s="2" t="s">
        <v>170</v>
      </c>
      <c r="B9" s="2" t="s">
        <v>171</v>
      </c>
      <c r="C9" s="9">
        <v>169034.13074182771</v>
      </c>
      <c r="D9" s="9">
        <v>0</v>
      </c>
      <c r="E9" s="9">
        <v>921837.64157034899</v>
      </c>
      <c r="F9" s="9">
        <v>4880.3003918325639</v>
      </c>
      <c r="G9" s="9">
        <v>96747.917962023552</v>
      </c>
      <c r="H9" s="9">
        <v>0</v>
      </c>
      <c r="I9" s="9">
        <v>259177.93977586291</v>
      </c>
      <c r="J9" s="9">
        <v>0</v>
      </c>
      <c r="K9" s="9">
        <v>30413.707824540921</v>
      </c>
      <c r="L9" s="3">
        <v>0</v>
      </c>
      <c r="M9" s="33">
        <v>1482091.638266437</v>
      </c>
      <c r="N9" s="3">
        <v>27219775.899</v>
      </c>
      <c r="O9" s="34">
        <v>5.4449075692826909</v>
      </c>
    </row>
    <row r="10" spans="1:15" ht="14.1" customHeight="1" x14ac:dyDescent="0.25">
      <c r="A10" s="2" t="s">
        <v>173</v>
      </c>
      <c r="B10" s="2" t="s">
        <v>174</v>
      </c>
      <c r="C10" s="9">
        <v>0</v>
      </c>
      <c r="D10" s="9">
        <v>0</v>
      </c>
      <c r="E10" s="9">
        <v>248089.54896662381</v>
      </c>
      <c r="F10" s="9">
        <v>151.18636521077329</v>
      </c>
      <c r="G10" s="9">
        <v>6720.6633685629613</v>
      </c>
      <c r="H10" s="9">
        <v>0</v>
      </c>
      <c r="I10" s="9">
        <v>72076.442725766537</v>
      </c>
      <c r="J10" s="9">
        <v>0</v>
      </c>
      <c r="K10" s="9">
        <v>515.47569274620491</v>
      </c>
      <c r="L10" s="3">
        <v>0</v>
      </c>
      <c r="M10" s="33">
        <v>327553.31711891032</v>
      </c>
      <c r="N10" s="3">
        <v>5635422.2470000004</v>
      </c>
      <c r="O10" s="34">
        <v>5.8124006110328699</v>
      </c>
    </row>
    <row r="11" spans="1:15" ht="14.1" customHeight="1" x14ac:dyDescent="0.25">
      <c r="A11" s="2" t="s">
        <v>176</v>
      </c>
      <c r="B11" s="2" t="s">
        <v>177</v>
      </c>
      <c r="C11" s="9">
        <v>0</v>
      </c>
      <c r="D11" s="9">
        <v>0</v>
      </c>
      <c r="E11" s="9">
        <v>0</v>
      </c>
      <c r="F11" s="9">
        <v>85.028300176467965</v>
      </c>
      <c r="G11" s="9">
        <v>480.33740145093873</v>
      </c>
      <c r="H11" s="9">
        <v>111487.6812973357</v>
      </c>
      <c r="I11" s="9">
        <v>381188.08345930511</v>
      </c>
      <c r="J11" s="9">
        <v>0</v>
      </c>
      <c r="K11" s="9">
        <v>0</v>
      </c>
      <c r="L11" s="3">
        <v>0</v>
      </c>
      <c r="M11" s="33">
        <v>493241.13045826822</v>
      </c>
      <c r="N11" s="3">
        <v>7379719.2180000003</v>
      </c>
      <c r="O11" s="34">
        <v>6.6837384443461643</v>
      </c>
    </row>
    <row r="12" spans="1:15" ht="14.1" customHeight="1" x14ac:dyDescent="0.25">
      <c r="A12" s="2" t="s">
        <v>178</v>
      </c>
      <c r="B12" s="2" t="s">
        <v>179</v>
      </c>
      <c r="C12" s="9">
        <v>0</v>
      </c>
      <c r="D12" s="9">
        <v>0</v>
      </c>
      <c r="E12" s="9">
        <v>2909205.2716704411</v>
      </c>
      <c r="F12" s="9">
        <v>66.175105089635835</v>
      </c>
      <c r="G12" s="9">
        <v>169313.80154181409</v>
      </c>
      <c r="H12" s="9">
        <v>182875.55651865021</v>
      </c>
      <c r="I12" s="9">
        <v>1001590.586925753</v>
      </c>
      <c r="J12" s="9">
        <v>0</v>
      </c>
      <c r="K12" s="9">
        <v>0</v>
      </c>
      <c r="L12" s="3">
        <v>0</v>
      </c>
      <c r="M12" s="33">
        <v>4263051.3917617472</v>
      </c>
      <c r="N12" s="3">
        <v>12256457.234999999</v>
      </c>
      <c r="O12" s="34">
        <v>34.782085149271502</v>
      </c>
    </row>
    <row r="13" spans="1:15" ht="14.1" customHeight="1" x14ac:dyDescent="0.25">
      <c r="A13" s="2" t="s">
        <v>180</v>
      </c>
      <c r="B13" s="2" t="s">
        <v>181</v>
      </c>
      <c r="C13" s="9">
        <v>89292.907666371699</v>
      </c>
      <c r="D13" s="9">
        <v>0</v>
      </c>
      <c r="E13" s="9">
        <v>1120105.09916581</v>
      </c>
      <c r="F13" s="9">
        <v>396.1976636723291</v>
      </c>
      <c r="G13" s="9">
        <v>4551.4624075933934</v>
      </c>
      <c r="H13" s="9">
        <v>0.97852136585601579</v>
      </c>
      <c r="I13" s="9">
        <v>0</v>
      </c>
      <c r="J13" s="9">
        <v>0</v>
      </c>
      <c r="K13" s="9">
        <v>0</v>
      </c>
      <c r="L13" s="3">
        <v>0</v>
      </c>
      <c r="M13" s="33">
        <v>1214346.645424813</v>
      </c>
      <c r="N13" s="3">
        <v>8430171.7339999992</v>
      </c>
      <c r="O13" s="34">
        <v>14.40476758649165</v>
      </c>
    </row>
    <row r="14" spans="1:15" ht="14.1" customHeight="1" x14ac:dyDescent="0.25">
      <c r="A14" s="2" t="s">
        <v>182</v>
      </c>
      <c r="B14" s="2" t="s">
        <v>183</v>
      </c>
      <c r="C14" s="9">
        <v>0</v>
      </c>
      <c r="D14" s="9">
        <v>0</v>
      </c>
      <c r="E14" s="9">
        <v>0</v>
      </c>
      <c r="F14" s="9">
        <v>0</v>
      </c>
      <c r="G14" s="9">
        <v>0</v>
      </c>
      <c r="H14" s="9">
        <v>0</v>
      </c>
      <c r="I14" s="9">
        <v>1179909.1332344241</v>
      </c>
      <c r="J14" s="9">
        <v>0</v>
      </c>
      <c r="K14" s="9">
        <v>0</v>
      </c>
      <c r="L14" s="3">
        <v>0</v>
      </c>
      <c r="M14" s="33">
        <v>1179909.1332344241</v>
      </c>
      <c r="N14" s="3">
        <v>3462433.0329999998</v>
      </c>
      <c r="O14" s="34">
        <v>34.077457151917827</v>
      </c>
    </row>
    <row r="15" spans="1:15" ht="14.1" customHeight="1" x14ac:dyDescent="0.25">
      <c r="A15" s="2" t="s">
        <v>184</v>
      </c>
      <c r="B15" s="2" t="s">
        <v>185</v>
      </c>
      <c r="C15" s="9">
        <v>0</v>
      </c>
      <c r="D15" s="9">
        <v>0</v>
      </c>
      <c r="E15" s="9">
        <v>353575.74459885719</v>
      </c>
      <c r="F15" s="9">
        <v>0</v>
      </c>
      <c r="G15" s="9">
        <v>0</v>
      </c>
      <c r="H15" s="9">
        <v>495953.58835627441</v>
      </c>
      <c r="I15" s="9">
        <v>1610869.5681004981</v>
      </c>
      <c r="J15" s="9">
        <v>0</v>
      </c>
      <c r="K15" s="9">
        <v>0</v>
      </c>
      <c r="L15" s="3">
        <v>0</v>
      </c>
      <c r="M15" s="33">
        <v>2460398.9010556298</v>
      </c>
      <c r="N15" s="3">
        <v>7675587.4900000002</v>
      </c>
      <c r="O15" s="34">
        <v>32.054861002641367</v>
      </c>
    </row>
    <row r="16" spans="1:15" ht="14.1" customHeight="1" x14ac:dyDescent="0.25">
      <c r="A16" s="2" t="s">
        <v>186</v>
      </c>
      <c r="B16" s="2" t="s">
        <v>187</v>
      </c>
      <c r="C16" s="9">
        <v>71.119346758331275</v>
      </c>
      <c r="D16" s="9">
        <v>0</v>
      </c>
      <c r="E16" s="9">
        <v>181720.42997323311</v>
      </c>
      <c r="F16" s="9">
        <v>2917.3700914496821</v>
      </c>
      <c r="G16" s="9">
        <v>0</v>
      </c>
      <c r="H16" s="9">
        <v>0</v>
      </c>
      <c r="I16" s="9">
        <v>29466.981471483879</v>
      </c>
      <c r="J16" s="9">
        <v>0</v>
      </c>
      <c r="K16" s="9">
        <v>0</v>
      </c>
      <c r="L16" s="3">
        <v>0</v>
      </c>
      <c r="M16" s="33">
        <v>214175.90088292499</v>
      </c>
      <c r="N16" s="3">
        <v>1464207.9029999999</v>
      </c>
      <c r="O16" s="34">
        <v>14.62742418232426</v>
      </c>
    </row>
    <row r="17" spans="1:15" ht="14.1" customHeight="1" x14ac:dyDescent="0.25">
      <c r="A17" s="2" t="s">
        <v>188</v>
      </c>
      <c r="B17" s="2" t="s">
        <v>189</v>
      </c>
      <c r="C17" s="9">
        <v>0</v>
      </c>
      <c r="D17" s="9">
        <v>0</v>
      </c>
      <c r="E17" s="9">
        <v>312507.62527695409</v>
      </c>
      <c r="F17" s="9">
        <v>0</v>
      </c>
      <c r="G17" s="9">
        <v>0</v>
      </c>
      <c r="H17" s="9">
        <v>0</v>
      </c>
      <c r="I17" s="9">
        <v>7952663.3444041517</v>
      </c>
      <c r="J17" s="9">
        <v>0</v>
      </c>
      <c r="K17" s="9">
        <v>0</v>
      </c>
      <c r="L17" s="3">
        <v>0</v>
      </c>
      <c r="M17" s="33">
        <v>8265170.9696811056</v>
      </c>
      <c r="N17" s="3">
        <v>10164043.989</v>
      </c>
      <c r="O17" s="34">
        <v>81.317741035222369</v>
      </c>
    </row>
    <row r="18" spans="1:15" ht="14.1" customHeight="1" x14ac:dyDescent="0.25">
      <c r="A18" s="2" t="s">
        <v>191</v>
      </c>
      <c r="B18" s="2" t="s">
        <v>192</v>
      </c>
      <c r="C18" s="9">
        <v>0</v>
      </c>
      <c r="D18" s="9">
        <v>0</v>
      </c>
      <c r="E18" s="9">
        <v>995303.3171318227</v>
      </c>
      <c r="F18" s="9">
        <v>1228.7135882237601</v>
      </c>
      <c r="G18" s="9">
        <v>147313.92129232499</v>
      </c>
      <c r="H18" s="9">
        <v>0</v>
      </c>
      <c r="I18" s="9">
        <v>2201967.5399616859</v>
      </c>
      <c r="J18" s="9">
        <v>0</v>
      </c>
      <c r="K18" s="9">
        <v>0</v>
      </c>
      <c r="L18" s="3">
        <v>0</v>
      </c>
      <c r="M18" s="33">
        <v>3345813.4919740581</v>
      </c>
      <c r="N18" s="3">
        <v>30409436.973999999</v>
      </c>
      <c r="O18" s="34">
        <v>11.002549948013581</v>
      </c>
    </row>
    <row r="19" spans="1:15" ht="14.1" customHeight="1" x14ac:dyDescent="0.25">
      <c r="A19" s="2" t="s">
        <v>194</v>
      </c>
      <c r="B19" s="2" t="s">
        <v>195</v>
      </c>
      <c r="C19" s="9">
        <v>86966.545088030078</v>
      </c>
      <c r="D19" s="9">
        <v>0</v>
      </c>
      <c r="E19" s="9">
        <v>127748.639495675</v>
      </c>
      <c r="F19" s="9">
        <v>0</v>
      </c>
      <c r="G19" s="9">
        <v>17113.388269228959</v>
      </c>
      <c r="H19" s="9">
        <v>0</v>
      </c>
      <c r="I19" s="9">
        <v>0</v>
      </c>
      <c r="J19" s="9">
        <v>0</v>
      </c>
      <c r="K19" s="9">
        <v>6884.5740006575334</v>
      </c>
      <c r="L19" s="3">
        <v>0</v>
      </c>
      <c r="M19" s="33">
        <v>238713.14685359149</v>
      </c>
      <c r="N19" s="3">
        <v>7385346.3959999997</v>
      </c>
      <c r="O19" s="34">
        <v>3.2322538991926191</v>
      </c>
    </row>
    <row r="20" spans="1:15" ht="14.1" customHeight="1" x14ac:dyDescent="0.25">
      <c r="A20" s="2" t="s">
        <v>196</v>
      </c>
      <c r="B20" s="2" t="s">
        <v>197</v>
      </c>
      <c r="C20" s="9">
        <v>984436.46342151228</v>
      </c>
      <c r="D20" s="9">
        <v>0</v>
      </c>
      <c r="E20" s="9">
        <v>564224.87516795238</v>
      </c>
      <c r="F20" s="9">
        <v>0</v>
      </c>
      <c r="G20" s="9">
        <v>0</v>
      </c>
      <c r="H20" s="9">
        <v>0</v>
      </c>
      <c r="I20" s="9">
        <v>3308674.3140559802</v>
      </c>
      <c r="J20" s="9">
        <v>0</v>
      </c>
      <c r="K20" s="9">
        <v>0</v>
      </c>
      <c r="L20" s="3">
        <v>0</v>
      </c>
      <c r="M20" s="33">
        <v>4857335.6526454436</v>
      </c>
      <c r="N20" s="3">
        <v>12912208.812000001</v>
      </c>
      <c r="O20" s="34">
        <v>37.618162185630581</v>
      </c>
    </row>
    <row r="21" spans="1:15" ht="14.1" customHeight="1" x14ac:dyDescent="0.25">
      <c r="A21" s="2" t="s">
        <v>198</v>
      </c>
      <c r="B21" s="2" t="s">
        <v>199</v>
      </c>
      <c r="C21" s="9">
        <v>0</v>
      </c>
      <c r="D21" s="9">
        <v>0</v>
      </c>
      <c r="E21" s="9">
        <v>0</v>
      </c>
      <c r="F21" s="9">
        <v>0</v>
      </c>
      <c r="G21" s="9">
        <v>0</v>
      </c>
      <c r="H21" s="9">
        <v>0</v>
      </c>
      <c r="I21" s="9">
        <v>0</v>
      </c>
      <c r="J21" s="9">
        <v>0</v>
      </c>
      <c r="K21" s="9">
        <v>0</v>
      </c>
      <c r="L21" s="3">
        <v>0</v>
      </c>
      <c r="M21" s="33">
        <v>0</v>
      </c>
      <c r="N21" s="3">
        <v>17167.102999999999</v>
      </c>
      <c r="O21" s="34">
        <v>0</v>
      </c>
    </row>
    <row r="22" spans="1:15" ht="14.1" customHeight="1" x14ac:dyDescent="0.25">
      <c r="A22" s="2" t="s">
        <v>200</v>
      </c>
      <c r="B22" s="2" t="s">
        <v>201</v>
      </c>
      <c r="C22" s="9">
        <v>0</v>
      </c>
      <c r="D22" s="9">
        <v>0</v>
      </c>
      <c r="E22" s="9">
        <v>142640.1694712787</v>
      </c>
      <c r="F22" s="9">
        <v>1921.350290474646</v>
      </c>
      <c r="G22" s="9">
        <v>0</v>
      </c>
      <c r="H22" s="9">
        <v>39065.368741725557</v>
      </c>
      <c r="I22" s="9">
        <v>35404.958088382933</v>
      </c>
      <c r="J22" s="9">
        <v>0</v>
      </c>
      <c r="K22" s="9">
        <v>0</v>
      </c>
      <c r="L22" s="3">
        <v>0</v>
      </c>
      <c r="M22" s="33">
        <v>219031.84659186189</v>
      </c>
      <c r="N22" s="3">
        <v>2092228.9550000001</v>
      </c>
      <c r="O22" s="34">
        <v>10.468827805313589</v>
      </c>
    </row>
    <row r="23" spans="1:15" ht="14.1" customHeight="1" x14ac:dyDescent="0.25">
      <c r="A23" s="2" t="s">
        <v>202</v>
      </c>
      <c r="B23" s="2" t="s">
        <v>203</v>
      </c>
      <c r="C23" s="9">
        <v>38760.110356417077</v>
      </c>
      <c r="D23" s="9">
        <v>0</v>
      </c>
      <c r="E23" s="9">
        <v>131083.925669875</v>
      </c>
      <c r="F23" s="9">
        <v>0</v>
      </c>
      <c r="G23" s="9">
        <v>36726.73352684806</v>
      </c>
      <c r="H23" s="9">
        <v>2648.5583678647981</v>
      </c>
      <c r="I23" s="9">
        <v>1016465.54346795</v>
      </c>
      <c r="J23" s="9">
        <v>0</v>
      </c>
      <c r="K23" s="9">
        <v>0</v>
      </c>
      <c r="L23" s="3">
        <v>0</v>
      </c>
      <c r="M23" s="33">
        <v>1225684.871388955</v>
      </c>
      <c r="N23" s="3">
        <v>8360871.2740000002</v>
      </c>
      <c r="O23" s="34">
        <v>14.659774456766201</v>
      </c>
    </row>
    <row r="24" spans="1:15" ht="14.1" customHeight="1" x14ac:dyDescent="0.25">
      <c r="A24" s="2" t="s">
        <v>204</v>
      </c>
      <c r="B24" s="2" t="s">
        <v>205</v>
      </c>
      <c r="C24" s="9">
        <v>42085.075071440893</v>
      </c>
      <c r="D24" s="9">
        <v>0</v>
      </c>
      <c r="E24" s="9">
        <v>250392.33661127009</v>
      </c>
      <c r="F24" s="9">
        <v>0</v>
      </c>
      <c r="G24" s="9">
        <v>6848.5128374464884</v>
      </c>
      <c r="H24" s="9">
        <v>4322.8269812950384</v>
      </c>
      <c r="I24" s="9">
        <v>0</v>
      </c>
      <c r="J24" s="9">
        <v>0</v>
      </c>
      <c r="K24" s="9">
        <v>21905.732595760059</v>
      </c>
      <c r="L24" s="3">
        <v>0</v>
      </c>
      <c r="M24" s="33">
        <v>325554.48409721261</v>
      </c>
      <c r="N24" s="3">
        <v>10699769.228</v>
      </c>
      <c r="O24" s="34">
        <v>3.0426308938072779</v>
      </c>
    </row>
    <row r="25" spans="1:15" ht="14.1" customHeight="1" x14ac:dyDescent="0.25">
      <c r="A25" s="2" t="s">
        <v>206</v>
      </c>
      <c r="B25" s="2" t="s">
        <v>207</v>
      </c>
      <c r="C25" s="9">
        <v>0</v>
      </c>
      <c r="D25" s="9">
        <v>0</v>
      </c>
      <c r="E25" s="9">
        <v>619445.04158032732</v>
      </c>
      <c r="F25" s="9">
        <v>0</v>
      </c>
      <c r="G25" s="9">
        <v>67371.066310271126</v>
      </c>
      <c r="H25" s="9">
        <v>179430.88063368469</v>
      </c>
      <c r="I25" s="9">
        <v>12317.529977382839</v>
      </c>
      <c r="J25" s="9">
        <v>0</v>
      </c>
      <c r="K25" s="9">
        <v>0</v>
      </c>
      <c r="L25" s="3">
        <v>0</v>
      </c>
      <c r="M25" s="33">
        <v>878564.51850166603</v>
      </c>
      <c r="N25" s="3">
        <v>2843199.4380000001</v>
      </c>
      <c r="O25" s="34">
        <v>30.90055895339081</v>
      </c>
    </row>
    <row r="26" spans="1:15" ht="14.1" customHeight="1" x14ac:dyDescent="0.25">
      <c r="A26" s="2" t="s">
        <v>208</v>
      </c>
      <c r="B26" s="2" t="s">
        <v>209</v>
      </c>
      <c r="C26" s="9">
        <v>0</v>
      </c>
      <c r="D26" s="9">
        <v>0</v>
      </c>
      <c r="E26" s="9">
        <v>0</v>
      </c>
      <c r="F26" s="9">
        <v>0</v>
      </c>
      <c r="G26" s="9">
        <v>209.36727011140439</v>
      </c>
      <c r="H26" s="9">
        <v>129619.85512355409</v>
      </c>
      <c r="I26" s="9">
        <v>0</v>
      </c>
      <c r="J26" s="9">
        <v>0</v>
      </c>
      <c r="K26" s="9">
        <v>0</v>
      </c>
      <c r="L26" s="3">
        <v>0</v>
      </c>
      <c r="M26" s="33">
        <v>129829.22239366551</v>
      </c>
      <c r="N26" s="3">
        <v>5805108.1210000003</v>
      </c>
      <c r="O26" s="34">
        <v>2.2364651904416348</v>
      </c>
    </row>
    <row r="27" spans="1:15" ht="14.1" customHeight="1" x14ac:dyDescent="0.25">
      <c r="A27" s="2" t="s">
        <v>210</v>
      </c>
      <c r="B27" s="2" t="s">
        <v>211</v>
      </c>
      <c r="C27" s="9">
        <v>0</v>
      </c>
      <c r="D27" s="9">
        <v>0</v>
      </c>
      <c r="E27" s="9">
        <v>172065.68218676039</v>
      </c>
      <c r="F27" s="9">
        <v>0</v>
      </c>
      <c r="G27" s="9">
        <v>3782.3612775758302</v>
      </c>
      <c r="H27" s="9">
        <v>0</v>
      </c>
      <c r="I27" s="9">
        <v>59091.295850757102</v>
      </c>
      <c r="J27" s="9">
        <v>0</v>
      </c>
      <c r="K27" s="9">
        <v>0</v>
      </c>
      <c r="L27" s="3">
        <v>0</v>
      </c>
      <c r="M27" s="33">
        <v>234939.33931509341</v>
      </c>
      <c r="N27" s="3">
        <v>6941095.4560000002</v>
      </c>
      <c r="O27" s="34">
        <v>3.3847588007453169</v>
      </c>
    </row>
    <row r="28" spans="1:15" ht="14.1" customHeight="1" x14ac:dyDescent="0.25">
      <c r="A28" s="2" t="s">
        <v>212</v>
      </c>
      <c r="B28" s="2" t="s">
        <v>213</v>
      </c>
      <c r="C28" s="9">
        <v>0</v>
      </c>
      <c r="D28" s="9">
        <v>0</v>
      </c>
      <c r="E28" s="9">
        <v>500476.21951281698</v>
      </c>
      <c r="F28" s="9">
        <v>7419.1435843852432</v>
      </c>
      <c r="G28" s="9">
        <v>85755.873668496366</v>
      </c>
      <c r="H28" s="9">
        <v>0</v>
      </c>
      <c r="I28" s="9">
        <v>300056.3884519696</v>
      </c>
      <c r="J28" s="9">
        <v>0</v>
      </c>
      <c r="K28" s="9">
        <v>0</v>
      </c>
      <c r="L28" s="3">
        <v>0</v>
      </c>
      <c r="M28" s="33">
        <v>893707.62521766825</v>
      </c>
      <c r="N28" s="3">
        <v>11625726.308</v>
      </c>
      <c r="O28" s="34">
        <v>7.6873272390962963</v>
      </c>
    </row>
    <row r="29" spans="1:15" ht="14.1" customHeight="1" x14ac:dyDescent="0.25">
      <c r="A29" s="2" t="s">
        <v>214</v>
      </c>
      <c r="B29" s="2" t="s">
        <v>215</v>
      </c>
      <c r="C29" s="9">
        <v>230433.5046382256</v>
      </c>
      <c r="D29" s="9">
        <v>888.99359231926462</v>
      </c>
      <c r="E29" s="9">
        <v>615648.01953125536</v>
      </c>
      <c r="F29" s="9">
        <v>0</v>
      </c>
      <c r="G29" s="9">
        <v>3560.6857651021878</v>
      </c>
      <c r="H29" s="9">
        <v>16.219794143513841</v>
      </c>
      <c r="I29" s="9">
        <v>3757.9037359269851</v>
      </c>
      <c r="J29" s="9">
        <v>0</v>
      </c>
      <c r="K29" s="9">
        <v>0</v>
      </c>
      <c r="L29" s="3">
        <v>0</v>
      </c>
      <c r="M29" s="33">
        <v>854305.32705697289</v>
      </c>
      <c r="N29" s="3">
        <v>2921327.483</v>
      </c>
      <c r="O29" s="34">
        <v>29.243737034906498</v>
      </c>
    </row>
    <row r="30" spans="1:15" ht="14.1" customHeight="1" x14ac:dyDescent="0.25">
      <c r="A30" s="2" t="s">
        <v>216</v>
      </c>
      <c r="B30" s="2" t="s">
        <v>217</v>
      </c>
      <c r="C30" s="9">
        <v>23125.287781734602</v>
      </c>
      <c r="D30" s="9">
        <v>115898.4799395087</v>
      </c>
      <c r="E30" s="9">
        <v>62157.225298486534</v>
      </c>
      <c r="F30" s="9">
        <v>291682.00559025019</v>
      </c>
      <c r="G30" s="9">
        <v>117.164994122303</v>
      </c>
      <c r="H30" s="9">
        <v>1408.5043975690719</v>
      </c>
      <c r="I30" s="9">
        <v>432235.40499336401</v>
      </c>
      <c r="J30" s="9">
        <v>5.0203470695316774</v>
      </c>
      <c r="K30" s="9">
        <v>0</v>
      </c>
      <c r="L30" s="3">
        <v>0</v>
      </c>
      <c r="M30" s="33">
        <v>926629.09334210493</v>
      </c>
      <c r="N30" s="3">
        <v>6120408.6500000004</v>
      </c>
      <c r="O30" s="34">
        <v>15.13998731673097</v>
      </c>
    </row>
    <row r="31" spans="1:15" ht="14.1" customHeight="1" x14ac:dyDescent="0.25">
      <c r="A31" s="2" t="s">
        <v>218</v>
      </c>
      <c r="B31" s="2" t="s">
        <v>219</v>
      </c>
      <c r="C31" s="9">
        <v>0</v>
      </c>
      <c r="D31" s="9">
        <v>0</v>
      </c>
      <c r="E31" s="9">
        <v>0</v>
      </c>
      <c r="F31" s="9">
        <v>751.56669335765798</v>
      </c>
      <c r="G31" s="9">
        <v>0</v>
      </c>
      <c r="H31" s="9">
        <v>1834.0684453123081</v>
      </c>
      <c r="I31" s="9">
        <v>331958.3309668682</v>
      </c>
      <c r="J31" s="9">
        <v>0</v>
      </c>
      <c r="K31" s="9">
        <v>0</v>
      </c>
      <c r="L31" s="3">
        <v>0</v>
      </c>
      <c r="M31" s="33">
        <v>334543.96610553819</v>
      </c>
      <c r="N31" s="3">
        <v>7267416.1720000003</v>
      </c>
      <c r="O31" s="34">
        <v>4.6033412451934943</v>
      </c>
    </row>
    <row r="32" spans="1:15" ht="14.1" customHeight="1" x14ac:dyDescent="0.25">
      <c r="A32" s="2" t="s">
        <v>221</v>
      </c>
      <c r="B32" s="2" t="s">
        <v>222</v>
      </c>
      <c r="C32" s="9">
        <v>231511.836977809</v>
      </c>
      <c r="D32" s="9">
        <v>0</v>
      </c>
      <c r="E32" s="9">
        <v>225063.76658269679</v>
      </c>
      <c r="F32" s="9">
        <v>18628.145707732259</v>
      </c>
      <c r="G32" s="9">
        <v>5443.6938400715444</v>
      </c>
      <c r="H32" s="9">
        <v>0</v>
      </c>
      <c r="I32" s="9">
        <v>121461.3923946491</v>
      </c>
      <c r="J32" s="9">
        <v>19.564308209971198</v>
      </c>
      <c r="K32" s="9">
        <v>0</v>
      </c>
      <c r="L32" s="3">
        <v>0</v>
      </c>
      <c r="M32" s="33">
        <v>602128.39981116855</v>
      </c>
      <c r="N32" s="3">
        <v>6615765.0329999998</v>
      </c>
      <c r="O32" s="34">
        <v>9.1014175504677208</v>
      </c>
    </row>
    <row r="33" spans="1:15" ht="14.1" customHeight="1" x14ac:dyDescent="0.25">
      <c r="A33" s="2" t="s">
        <v>223</v>
      </c>
      <c r="B33" s="2" t="s">
        <v>224</v>
      </c>
      <c r="C33" s="9">
        <v>11243.61474707615</v>
      </c>
      <c r="D33" s="9">
        <v>8.5561068390551327</v>
      </c>
      <c r="E33" s="9">
        <v>69824.085627441527</v>
      </c>
      <c r="F33" s="9">
        <v>2558.9246634143979</v>
      </c>
      <c r="G33" s="9">
        <v>11082.5130863916</v>
      </c>
      <c r="H33" s="9">
        <v>16016.552426390939</v>
      </c>
      <c r="I33" s="9">
        <v>73035.269700109973</v>
      </c>
      <c r="J33" s="9">
        <v>0</v>
      </c>
      <c r="K33" s="9">
        <v>0</v>
      </c>
      <c r="L33" s="3">
        <v>0</v>
      </c>
      <c r="M33" s="33">
        <v>183769.51635766361</v>
      </c>
      <c r="N33" s="3">
        <v>537542.625</v>
      </c>
      <c r="O33" s="34">
        <v>34.186966355954311</v>
      </c>
    </row>
    <row r="34" spans="1:15" ht="14.1" customHeight="1" x14ac:dyDescent="0.25">
      <c r="A34" s="2" t="s">
        <v>226</v>
      </c>
      <c r="B34" s="2" t="s">
        <v>227</v>
      </c>
      <c r="C34" s="9">
        <v>366988.47743067611</v>
      </c>
      <c r="D34" s="9">
        <v>0</v>
      </c>
      <c r="E34" s="9">
        <v>1016827.2148644601</v>
      </c>
      <c r="F34" s="9">
        <v>60685.717333983121</v>
      </c>
      <c r="G34" s="9">
        <v>461.69758181532183</v>
      </c>
      <c r="H34" s="9">
        <v>467797.51886426209</v>
      </c>
      <c r="I34" s="9">
        <v>790030.46522287326</v>
      </c>
      <c r="J34" s="9">
        <v>0</v>
      </c>
      <c r="K34" s="9">
        <v>0</v>
      </c>
      <c r="L34" s="3">
        <v>0</v>
      </c>
      <c r="M34" s="33">
        <v>2702791.0912980698</v>
      </c>
      <c r="N34" s="3">
        <v>18075257.304000001</v>
      </c>
      <c r="O34" s="34">
        <v>14.952988197296371</v>
      </c>
    </row>
    <row r="35" spans="1:15" ht="14.1" customHeight="1" x14ac:dyDescent="0.25">
      <c r="A35" s="2" t="s">
        <v>228</v>
      </c>
      <c r="B35" s="2" t="s">
        <v>229</v>
      </c>
      <c r="C35" s="9">
        <v>157419.84820412219</v>
      </c>
      <c r="D35" s="9">
        <v>9813.7634458460489</v>
      </c>
      <c r="E35" s="9">
        <v>221044.16800075141</v>
      </c>
      <c r="F35" s="9">
        <v>39377.742760255998</v>
      </c>
      <c r="G35" s="9">
        <v>76650.74939019233</v>
      </c>
      <c r="H35" s="9">
        <v>0</v>
      </c>
      <c r="I35" s="9">
        <v>1459584.6777646081</v>
      </c>
      <c r="J35" s="9">
        <v>0</v>
      </c>
      <c r="K35" s="9">
        <v>0</v>
      </c>
      <c r="L35" s="3">
        <v>0</v>
      </c>
      <c r="M35" s="33">
        <v>1963890.9495657759</v>
      </c>
      <c r="N35" s="3">
        <v>12002882.873</v>
      </c>
      <c r="O35" s="34">
        <v>16.36182715723627</v>
      </c>
    </row>
    <row r="36" spans="1:15" ht="14.1" customHeight="1" x14ac:dyDescent="0.25">
      <c r="A36" s="2" t="s">
        <v>230</v>
      </c>
      <c r="B36" s="2" t="s">
        <v>231</v>
      </c>
      <c r="C36" s="9">
        <v>261586.84177245139</v>
      </c>
      <c r="D36" s="9">
        <v>0</v>
      </c>
      <c r="E36" s="9">
        <v>306465.31741766469</v>
      </c>
      <c r="F36" s="9">
        <v>747.29158791753605</v>
      </c>
      <c r="G36" s="9">
        <v>27910.98553869309</v>
      </c>
      <c r="H36" s="9">
        <v>0</v>
      </c>
      <c r="I36" s="9">
        <v>652.19751892942304</v>
      </c>
      <c r="J36" s="9">
        <v>0</v>
      </c>
      <c r="K36" s="9">
        <v>0</v>
      </c>
      <c r="L36" s="3">
        <v>0</v>
      </c>
      <c r="M36" s="33">
        <v>597362.63383565622</v>
      </c>
      <c r="N36" s="3">
        <v>3142149.443</v>
      </c>
      <c r="O36" s="34">
        <v>19.011273800692241</v>
      </c>
    </row>
    <row r="37" spans="1:15" ht="14.1" customHeight="1" x14ac:dyDescent="0.25">
      <c r="A37" s="2" t="s">
        <v>232</v>
      </c>
      <c r="B37" s="2" t="s">
        <v>233</v>
      </c>
      <c r="C37" s="9">
        <v>1845696.028523192</v>
      </c>
      <c r="D37" s="9">
        <v>0</v>
      </c>
      <c r="E37" s="9">
        <v>0</v>
      </c>
      <c r="F37" s="9">
        <v>127524.449196773</v>
      </c>
      <c r="G37" s="9">
        <v>0</v>
      </c>
      <c r="H37" s="9">
        <v>0</v>
      </c>
      <c r="I37" s="9">
        <v>7154071.1651837388</v>
      </c>
      <c r="J37" s="9">
        <v>0</v>
      </c>
      <c r="K37" s="9">
        <v>0</v>
      </c>
      <c r="L37" s="3">
        <v>0</v>
      </c>
      <c r="M37" s="33">
        <v>9127291.6429037042</v>
      </c>
      <c r="N37" s="3">
        <v>15628918.477</v>
      </c>
      <c r="O37" s="34">
        <v>58.400020809729789</v>
      </c>
    </row>
    <row r="38" spans="1:15" ht="14.1" customHeight="1" x14ac:dyDescent="0.25">
      <c r="A38" s="2" t="s">
        <v>234</v>
      </c>
      <c r="B38" s="2" t="s">
        <v>235</v>
      </c>
      <c r="C38" s="9">
        <v>17733.407394334849</v>
      </c>
      <c r="D38" s="9">
        <v>0</v>
      </c>
      <c r="E38" s="9">
        <v>1384057.1257086941</v>
      </c>
      <c r="F38" s="9">
        <v>0</v>
      </c>
      <c r="G38" s="9">
        <v>0</v>
      </c>
      <c r="H38" s="9">
        <v>16796.569699162988</v>
      </c>
      <c r="I38" s="9">
        <v>16099765.83065889</v>
      </c>
      <c r="J38" s="9">
        <v>0</v>
      </c>
      <c r="K38" s="9">
        <v>0</v>
      </c>
      <c r="L38" s="3">
        <v>0</v>
      </c>
      <c r="M38" s="33">
        <v>17518352.933461081</v>
      </c>
      <c r="N38" s="3">
        <v>39486135.498000003</v>
      </c>
      <c r="O38" s="34">
        <v>44.365833000670307</v>
      </c>
    </row>
    <row r="39" spans="1:15" ht="14.1" customHeight="1" x14ac:dyDescent="0.25">
      <c r="A39" s="2" t="s">
        <v>237</v>
      </c>
      <c r="B39" s="2" t="s">
        <v>238</v>
      </c>
      <c r="C39" s="9">
        <v>3590398.4810944218</v>
      </c>
      <c r="D39" s="9">
        <v>493163.42310733191</v>
      </c>
      <c r="E39" s="9">
        <v>2413374.1373696239</v>
      </c>
      <c r="F39" s="9">
        <v>15252.867889886311</v>
      </c>
      <c r="G39" s="9">
        <v>704.30053971455459</v>
      </c>
      <c r="H39" s="9">
        <v>0</v>
      </c>
      <c r="I39" s="9">
        <v>11632226.53358395</v>
      </c>
      <c r="J39" s="9">
        <v>0</v>
      </c>
      <c r="K39" s="9">
        <v>0</v>
      </c>
      <c r="L39" s="3">
        <v>0</v>
      </c>
      <c r="M39" s="33">
        <v>18145119.743584931</v>
      </c>
      <c r="N39" s="3">
        <v>42246564.193000004</v>
      </c>
      <c r="O39" s="34">
        <v>42.950521752941668</v>
      </c>
    </row>
    <row r="40" spans="1:15" ht="14.1" customHeight="1" x14ac:dyDescent="0.25">
      <c r="A40" s="2" t="s">
        <v>240</v>
      </c>
      <c r="B40" s="2" t="s">
        <v>241</v>
      </c>
      <c r="C40" s="9">
        <v>0</v>
      </c>
      <c r="D40" s="9">
        <v>0</v>
      </c>
      <c r="E40" s="9">
        <v>0</v>
      </c>
      <c r="F40" s="9">
        <v>0</v>
      </c>
      <c r="G40" s="9">
        <v>0</v>
      </c>
      <c r="H40" s="9">
        <v>297626.20331350091</v>
      </c>
      <c r="I40" s="9">
        <v>532048.2608599572</v>
      </c>
      <c r="J40" s="9">
        <v>0</v>
      </c>
      <c r="K40" s="9">
        <v>0</v>
      </c>
      <c r="L40" s="3">
        <v>0</v>
      </c>
      <c r="M40" s="33">
        <v>829674.46417345805</v>
      </c>
      <c r="N40" s="3">
        <v>2711718.4440000001</v>
      </c>
      <c r="O40" s="34">
        <v>30.595892652838341</v>
      </c>
    </row>
    <row r="41" spans="1:15" ht="14.1" customHeight="1" x14ac:dyDescent="0.25">
      <c r="A41" s="2" t="s">
        <v>242</v>
      </c>
      <c r="B41" s="2" t="s">
        <v>243</v>
      </c>
      <c r="C41" s="9">
        <v>0</v>
      </c>
      <c r="D41" s="9">
        <v>0</v>
      </c>
      <c r="E41" s="9">
        <v>308394.24170882389</v>
      </c>
      <c r="F41" s="9">
        <v>0</v>
      </c>
      <c r="G41" s="9">
        <v>0</v>
      </c>
      <c r="H41" s="9">
        <v>670946.24374888965</v>
      </c>
      <c r="I41" s="9">
        <v>1908010.3642233531</v>
      </c>
      <c r="J41" s="9">
        <v>0</v>
      </c>
      <c r="K41" s="9">
        <v>0</v>
      </c>
      <c r="L41" s="3">
        <v>0</v>
      </c>
      <c r="M41" s="33">
        <v>2887350.8496810668</v>
      </c>
      <c r="N41" s="3">
        <v>11847908.986</v>
      </c>
      <c r="O41" s="34">
        <v>24.370130232202879</v>
      </c>
    </row>
    <row r="42" spans="1:15" ht="14.1" customHeight="1" x14ac:dyDescent="0.25">
      <c r="A42" s="2" t="s">
        <v>245</v>
      </c>
      <c r="B42" s="2" t="s">
        <v>246</v>
      </c>
      <c r="C42" s="9">
        <v>0</v>
      </c>
      <c r="D42" s="9">
        <v>0</v>
      </c>
      <c r="E42" s="9">
        <v>665854.85893620353</v>
      </c>
      <c r="F42" s="9">
        <v>7828.1707987310792</v>
      </c>
      <c r="G42" s="9">
        <v>0</v>
      </c>
      <c r="H42" s="9">
        <v>311050.44690376788</v>
      </c>
      <c r="I42" s="9">
        <v>385406.92418293742</v>
      </c>
      <c r="J42" s="9">
        <v>0</v>
      </c>
      <c r="K42" s="9">
        <v>0</v>
      </c>
      <c r="L42" s="3">
        <v>0</v>
      </c>
      <c r="M42" s="33">
        <v>1370140.4008216399</v>
      </c>
      <c r="N42" s="3">
        <v>22041825.131000001</v>
      </c>
      <c r="O42" s="34">
        <v>6.2160932349229601</v>
      </c>
    </row>
    <row r="43" spans="1:15" ht="14.1" customHeight="1" x14ac:dyDescent="0.25">
      <c r="A43" s="2" t="s">
        <v>247</v>
      </c>
      <c r="B43" s="2" t="s">
        <v>248</v>
      </c>
      <c r="C43" s="9">
        <v>111101.5712111598</v>
      </c>
      <c r="D43" s="9">
        <v>44689.746837830848</v>
      </c>
      <c r="E43" s="9">
        <v>3547.36344677035</v>
      </c>
      <c r="F43" s="9">
        <v>0</v>
      </c>
      <c r="G43" s="9">
        <v>0</v>
      </c>
      <c r="H43" s="9">
        <v>0</v>
      </c>
      <c r="I43" s="9">
        <v>0</v>
      </c>
      <c r="J43" s="9">
        <v>0</v>
      </c>
      <c r="K43" s="9">
        <v>0</v>
      </c>
      <c r="L43" s="3">
        <v>0</v>
      </c>
      <c r="M43" s="33">
        <v>159338.681495761</v>
      </c>
      <c r="N43" s="3">
        <v>1088197.5789999999</v>
      </c>
      <c r="O43" s="34">
        <v>14.642440359239311</v>
      </c>
    </row>
    <row r="44" spans="1:15" ht="14.1" customHeight="1" x14ac:dyDescent="0.25">
      <c r="A44" s="2" t="s">
        <v>249</v>
      </c>
      <c r="B44" s="2" t="s">
        <v>250</v>
      </c>
      <c r="C44" s="9">
        <v>7.4497654750846856</v>
      </c>
      <c r="D44" s="9">
        <v>0</v>
      </c>
      <c r="E44" s="9">
        <v>8662.7329744128838</v>
      </c>
      <c r="F44" s="9">
        <v>0</v>
      </c>
      <c r="G44" s="9">
        <v>0</v>
      </c>
      <c r="H44" s="9">
        <v>5.6926957192472448E-2</v>
      </c>
      <c r="I44" s="9">
        <v>0</v>
      </c>
      <c r="J44" s="9">
        <v>0</v>
      </c>
      <c r="K44" s="9">
        <v>0</v>
      </c>
      <c r="L44" s="3">
        <v>0</v>
      </c>
      <c r="M44" s="33">
        <v>8670.239666845162</v>
      </c>
      <c r="N44" s="3">
        <v>27329.15</v>
      </c>
      <c r="O44" s="34">
        <v>31.72524453503004</v>
      </c>
    </row>
    <row r="45" spans="1:15" ht="14.1" customHeight="1" x14ac:dyDescent="0.25">
      <c r="A45" s="2" t="s">
        <v>252</v>
      </c>
      <c r="B45" s="2" t="s">
        <v>253</v>
      </c>
      <c r="C45" s="9">
        <v>117750.95260125829</v>
      </c>
      <c r="D45" s="9">
        <v>391.98270034973223</v>
      </c>
      <c r="E45" s="9">
        <v>531164.5201892897</v>
      </c>
      <c r="F45" s="9">
        <v>0</v>
      </c>
      <c r="G45" s="9">
        <v>10472.12453914921</v>
      </c>
      <c r="H45" s="9">
        <v>1169.984953824013</v>
      </c>
      <c r="I45" s="9">
        <v>6466.8776546000927</v>
      </c>
      <c r="J45" s="9">
        <v>0</v>
      </c>
      <c r="K45" s="9">
        <v>373.46925416657058</v>
      </c>
      <c r="L45" s="3">
        <v>0</v>
      </c>
      <c r="M45" s="33">
        <v>667789.91189263761</v>
      </c>
      <c r="N45" s="3">
        <v>4509074.1390000004</v>
      </c>
      <c r="O45" s="34">
        <v>14.809911997604379</v>
      </c>
    </row>
    <row r="46" spans="1:15" ht="14.1" customHeight="1" x14ac:dyDescent="0.25">
      <c r="A46" s="2" t="s">
        <v>254</v>
      </c>
      <c r="B46" s="2" t="s">
        <v>255</v>
      </c>
      <c r="C46" s="9">
        <v>11550.508934550409</v>
      </c>
      <c r="D46" s="9">
        <v>69917.457257526388</v>
      </c>
      <c r="E46" s="9">
        <v>39476.826618290179</v>
      </c>
      <c r="F46" s="9">
        <v>36092.145111593753</v>
      </c>
      <c r="G46" s="9">
        <v>1027.933054634135</v>
      </c>
      <c r="H46" s="9">
        <v>0</v>
      </c>
      <c r="I46" s="9">
        <v>7236.9394376523551</v>
      </c>
      <c r="J46" s="9">
        <v>19.888384834348589</v>
      </c>
      <c r="K46" s="9">
        <v>0</v>
      </c>
      <c r="L46" s="3">
        <v>0</v>
      </c>
      <c r="M46" s="33">
        <v>165321.69879908161</v>
      </c>
      <c r="N46" s="3">
        <v>812414.86</v>
      </c>
      <c r="O46" s="34">
        <v>20.349418374632091</v>
      </c>
    </row>
    <row r="47" spans="1:15" ht="14.1" customHeight="1" x14ac:dyDescent="0.25">
      <c r="A47" s="2" t="s">
        <v>256</v>
      </c>
      <c r="B47" s="2" t="s">
        <v>257</v>
      </c>
      <c r="C47" s="9">
        <v>493.39556675911518</v>
      </c>
      <c r="D47" s="9">
        <v>0</v>
      </c>
      <c r="E47" s="9">
        <v>18474.58353921428</v>
      </c>
      <c r="F47" s="9">
        <v>3115.5204978093939</v>
      </c>
      <c r="G47" s="9">
        <v>17220.12938250256</v>
      </c>
      <c r="H47" s="9">
        <v>8907.6670584897274</v>
      </c>
      <c r="I47" s="9">
        <v>31503.55370028576</v>
      </c>
      <c r="J47" s="9">
        <v>2149.358253753805</v>
      </c>
      <c r="K47" s="9">
        <v>0</v>
      </c>
      <c r="L47" s="3">
        <v>0</v>
      </c>
      <c r="M47" s="33">
        <v>81864.207998814643</v>
      </c>
      <c r="N47" s="3">
        <v>425566.53600000002</v>
      </c>
      <c r="O47" s="34">
        <v>19.236523803839368</v>
      </c>
    </row>
    <row r="48" spans="1:15" ht="14.1" customHeight="1" x14ac:dyDescent="0.25">
      <c r="A48" s="2" t="s">
        <v>258</v>
      </c>
      <c r="B48" s="2" t="s">
        <v>259</v>
      </c>
      <c r="C48" s="9">
        <v>0</v>
      </c>
      <c r="D48" s="9">
        <v>0</v>
      </c>
      <c r="E48" s="9">
        <v>514038.08970252739</v>
      </c>
      <c r="F48" s="9">
        <v>386106.44254631369</v>
      </c>
      <c r="G48" s="9">
        <v>0</v>
      </c>
      <c r="H48" s="9">
        <v>0</v>
      </c>
      <c r="I48" s="9">
        <v>4350000.4891265957</v>
      </c>
      <c r="J48" s="9">
        <v>0</v>
      </c>
      <c r="K48" s="9">
        <v>0</v>
      </c>
      <c r="L48" s="3">
        <v>0</v>
      </c>
      <c r="M48" s="33">
        <v>5250145.0213754363</v>
      </c>
      <c r="N48" s="3">
        <v>11089856.833000001</v>
      </c>
      <c r="O48" s="34">
        <v>47.341864736726087</v>
      </c>
    </row>
    <row r="49" spans="1:15" ht="14.1" customHeight="1" x14ac:dyDescent="0.25">
      <c r="A49" s="2" t="s">
        <v>260</v>
      </c>
      <c r="B49" s="2" t="s">
        <v>261</v>
      </c>
      <c r="C49" s="9">
        <v>0</v>
      </c>
      <c r="D49" s="9">
        <v>0</v>
      </c>
      <c r="E49" s="9">
        <v>0</v>
      </c>
      <c r="F49" s="9">
        <v>4765.4526090357103</v>
      </c>
      <c r="G49" s="9">
        <v>0</v>
      </c>
      <c r="H49" s="9">
        <v>569383.59444914397</v>
      </c>
      <c r="I49" s="9">
        <v>5598.7683054103672</v>
      </c>
      <c r="J49" s="9">
        <v>0</v>
      </c>
      <c r="K49" s="9">
        <v>0</v>
      </c>
      <c r="L49" s="3">
        <v>0</v>
      </c>
      <c r="M49" s="33">
        <v>579747.81536359014</v>
      </c>
      <c r="N49" s="3">
        <v>3929443.5430000001</v>
      </c>
      <c r="O49" s="34">
        <v>14.75394185002011</v>
      </c>
    </row>
    <row r="50" spans="1:15" ht="14.1" customHeight="1" x14ac:dyDescent="0.25">
      <c r="A50" s="2" t="s">
        <v>262</v>
      </c>
      <c r="B50" s="2" t="s">
        <v>263</v>
      </c>
      <c r="C50" s="9">
        <v>1107573.9727016019</v>
      </c>
      <c r="D50" s="9">
        <v>0</v>
      </c>
      <c r="E50" s="9">
        <v>226491.45504468901</v>
      </c>
      <c r="F50" s="9">
        <v>0</v>
      </c>
      <c r="G50" s="9">
        <v>1264.35017984044</v>
      </c>
      <c r="H50" s="9">
        <v>724.8821722399033</v>
      </c>
      <c r="I50" s="9">
        <v>1020806.346416046</v>
      </c>
      <c r="J50" s="9">
        <v>0</v>
      </c>
      <c r="K50" s="9">
        <v>0</v>
      </c>
      <c r="L50" s="3">
        <v>0</v>
      </c>
      <c r="M50" s="33">
        <v>2356861.006514417</v>
      </c>
      <c r="N50" s="3">
        <v>7397559.2560000001</v>
      </c>
      <c r="O50" s="34">
        <v>31.859981447297201</v>
      </c>
    </row>
    <row r="51" spans="1:15" ht="14.1" customHeight="1" x14ac:dyDescent="0.25">
      <c r="A51" s="2" t="s">
        <v>264</v>
      </c>
      <c r="B51" s="2" t="s">
        <v>265</v>
      </c>
      <c r="C51" s="9">
        <v>0</v>
      </c>
      <c r="D51" s="9">
        <v>0</v>
      </c>
      <c r="E51" s="9">
        <v>341186.47749790811</v>
      </c>
      <c r="F51" s="9">
        <v>314.15817237976881</v>
      </c>
      <c r="G51" s="9">
        <v>169378.84034377211</v>
      </c>
      <c r="H51" s="9">
        <v>0</v>
      </c>
      <c r="I51" s="9">
        <v>11836.97952762635</v>
      </c>
      <c r="J51" s="9">
        <v>0</v>
      </c>
      <c r="K51" s="9">
        <v>0</v>
      </c>
      <c r="L51" s="3">
        <v>0</v>
      </c>
      <c r="M51" s="33">
        <v>522716.45554168627</v>
      </c>
      <c r="N51" s="3">
        <v>33468760.806000002</v>
      </c>
      <c r="O51" s="34">
        <v>1.5618040314416961</v>
      </c>
    </row>
    <row r="52" spans="1:15" ht="14.1" customHeight="1" x14ac:dyDescent="0.25">
      <c r="A52" s="2" t="s">
        <v>267</v>
      </c>
      <c r="B52" s="2" t="s">
        <v>268</v>
      </c>
      <c r="C52" s="9">
        <v>0</v>
      </c>
      <c r="D52" s="9">
        <v>0</v>
      </c>
      <c r="E52" s="9">
        <v>174618.75808730701</v>
      </c>
      <c r="F52" s="9">
        <v>0</v>
      </c>
      <c r="G52" s="9">
        <v>0</v>
      </c>
      <c r="H52" s="9">
        <v>0</v>
      </c>
      <c r="I52" s="9">
        <v>202468.27563186179</v>
      </c>
      <c r="J52" s="9">
        <v>0</v>
      </c>
      <c r="K52" s="9">
        <v>0</v>
      </c>
      <c r="L52" s="3">
        <v>0</v>
      </c>
      <c r="M52" s="33">
        <v>377087.0337191688</v>
      </c>
      <c r="N52" s="3">
        <v>6778262.5669999998</v>
      </c>
      <c r="O52" s="34">
        <v>5.5631812723664424</v>
      </c>
    </row>
    <row r="53" spans="1:15" ht="14.1" customHeight="1" x14ac:dyDescent="0.25">
      <c r="A53" s="2" t="s">
        <v>269</v>
      </c>
      <c r="B53" s="2" t="s">
        <v>270</v>
      </c>
      <c r="C53" s="9">
        <v>122354.6218350128</v>
      </c>
      <c r="D53" s="9">
        <v>0</v>
      </c>
      <c r="E53" s="9">
        <v>861146.4859257926</v>
      </c>
      <c r="F53" s="9">
        <v>0</v>
      </c>
      <c r="G53" s="9">
        <v>14293.35569564867</v>
      </c>
      <c r="H53" s="9">
        <v>38305.540195966387</v>
      </c>
      <c r="I53" s="9">
        <v>157227.83114020471</v>
      </c>
      <c r="J53" s="9">
        <v>0</v>
      </c>
      <c r="K53" s="9">
        <v>17449.07051160113</v>
      </c>
      <c r="L53" s="3">
        <v>0</v>
      </c>
      <c r="M53" s="33">
        <v>1210776.9053042261</v>
      </c>
      <c r="N53" s="3">
        <v>25188333.427999999</v>
      </c>
      <c r="O53" s="34">
        <v>4.806895655741541</v>
      </c>
    </row>
    <row r="54" spans="1:15" ht="14.1" customHeight="1" x14ac:dyDescent="0.25">
      <c r="A54" s="2" t="s">
        <v>271</v>
      </c>
      <c r="B54" s="2" t="s">
        <v>272</v>
      </c>
      <c r="C54" s="9">
        <v>277970.4044317248</v>
      </c>
      <c r="D54" s="9">
        <v>0</v>
      </c>
      <c r="E54" s="9">
        <v>1527200.003935294</v>
      </c>
      <c r="F54" s="9">
        <v>0</v>
      </c>
      <c r="G54" s="9">
        <v>637.85173580127264</v>
      </c>
      <c r="H54" s="9">
        <v>119790.5710884561</v>
      </c>
      <c r="I54" s="9">
        <v>13230.298942168511</v>
      </c>
      <c r="J54" s="9">
        <v>0</v>
      </c>
      <c r="K54" s="9">
        <v>0</v>
      </c>
      <c r="L54" s="3">
        <v>0</v>
      </c>
      <c r="M54" s="33">
        <v>1938829.1301334449</v>
      </c>
      <c r="N54" s="3">
        <v>28120554.324000001</v>
      </c>
      <c r="O54" s="34">
        <v>6.8947045203825006</v>
      </c>
    </row>
    <row r="55" spans="1:15" ht="14.1" customHeight="1" x14ac:dyDescent="0.25">
      <c r="A55" s="2" t="s">
        <v>273</v>
      </c>
      <c r="B55" s="2" t="s">
        <v>274</v>
      </c>
      <c r="C55" s="9">
        <v>709790.0595487369</v>
      </c>
      <c r="D55" s="9">
        <v>404669.19325722638</v>
      </c>
      <c r="E55" s="9">
        <v>1505194.641842491</v>
      </c>
      <c r="F55" s="9">
        <v>547839.83751029312</v>
      </c>
      <c r="G55" s="9">
        <v>138382.82079496959</v>
      </c>
      <c r="H55" s="9">
        <v>26780.039722035261</v>
      </c>
      <c r="I55" s="9">
        <v>114073.6635237166</v>
      </c>
      <c r="J55" s="9">
        <v>0</v>
      </c>
      <c r="K55" s="9">
        <v>10623.041558512439</v>
      </c>
      <c r="L55" s="3">
        <v>0.37529582351708712</v>
      </c>
      <c r="M55" s="33">
        <v>3457353.6730538048</v>
      </c>
      <c r="N55" s="3">
        <v>19958349.473999999</v>
      </c>
      <c r="O55" s="34">
        <v>17.322843642745831</v>
      </c>
    </row>
    <row r="56" spans="1:15" ht="14.1" customHeight="1" x14ac:dyDescent="0.25">
      <c r="A56" s="2" t="s">
        <v>276</v>
      </c>
      <c r="B56" s="2" t="s">
        <v>277</v>
      </c>
      <c r="C56" s="9">
        <v>60596.216625829118</v>
      </c>
      <c r="D56" s="9">
        <v>508084.44934157521</v>
      </c>
      <c r="E56" s="9">
        <v>448126.08051857661</v>
      </c>
      <c r="F56" s="9">
        <v>16.173046558776889</v>
      </c>
      <c r="G56" s="9">
        <v>2121.6610173399299</v>
      </c>
      <c r="H56" s="9">
        <v>3392.0617098109451</v>
      </c>
      <c r="I56" s="9">
        <v>85.165863812978529</v>
      </c>
      <c r="J56" s="9">
        <v>0</v>
      </c>
      <c r="K56" s="9">
        <v>28948.304275931539</v>
      </c>
      <c r="L56" s="3">
        <v>0</v>
      </c>
      <c r="M56" s="33">
        <v>1051370.1123994349</v>
      </c>
      <c r="N56" s="3">
        <v>3996590.9589999998</v>
      </c>
      <c r="O56" s="34">
        <v>26.306672941643789</v>
      </c>
    </row>
    <row r="57" spans="1:15" ht="14.1" customHeight="1" x14ac:dyDescent="0.25">
      <c r="A57" s="2" t="s">
        <v>278</v>
      </c>
      <c r="B57" s="2" t="s">
        <v>279</v>
      </c>
      <c r="C57" s="9">
        <v>54413.184867138589</v>
      </c>
      <c r="D57" s="9">
        <v>1446.0397430874939</v>
      </c>
      <c r="E57" s="9">
        <v>192998.04185545829</v>
      </c>
      <c r="F57" s="9">
        <v>1622.836928855937</v>
      </c>
      <c r="G57" s="9">
        <v>5115.3065342968757</v>
      </c>
      <c r="H57" s="9">
        <v>3.4036207205949962</v>
      </c>
      <c r="I57" s="9">
        <v>1166.410492925241</v>
      </c>
      <c r="J57" s="9">
        <v>0</v>
      </c>
      <c r="K57" s="9">
        <v>29868.2667984853</v>
      </c>
      <c r="L57" s="3">
        <v>0</v>
      </c>
      <c r="M57" s="33">
        <v>286633.49084096833</v>
      </c>
      <c r="N57" s="3">
        <v>8681126.0700000003</v>
      </c>
      <c r="O57" s="34">
        <v>3.3018008093616862</v>
      </c>
    </row>
    <row r="58" spans="1:15" ht="14.1" customHeight="1" x14ac:dyDescent="0.25">
      <c r="A58" s="2" t="s">
        <v>281</v>
      </c>
      <c r="B58" s="2" t="s">
        <v>282</v>
      </c>
      <c r="C58" s="9">
        <v>7768.3706074944112</v>
      </c>
      <c r="D58" s="9">
        <v>0</v>
      </c>
      <c r="E58" s="9">
        <v>79163.473368342457</v>
      </c>
      <c r="F58" s="9">
        <v>34.98901225959186</v>
      </c>
      <c r="G58" s="9">
        <v>0</v>
      </c>
      <c r="H58" s="9">
        <v>0</v>
      </c>
      <c r="I58" s="9">
        <v>7387.9474835612009</v>
      </c>
      <c r="J58" s="9">
        <v>0</v>
      </c>
      <c r="K58" s="9">
        <v>19448.983546669391</v>
      </c>
      <c r="L58" s="3">
        <v>0</v>
      </c>
      <c r="M58" s="33">
        <v>113803.7640183271</v>
      </c>
      <c r="N58" s="3">
        <v>2701977.1570000001</v>
      </c>
      <c r="O58" s="34">
        <v>4.2118699532117123</v>
      </c>
    </row>
    <row r="59" spans="1:15" ht="14.1" customHeight="1" x14ac:dyDescent="0.25">
      <c r="A59" s="2" t="s">
        <v>283</v>
      </c>
      <c r="B59" s="2" t="s">
        <v>284</v>
      </c>
      <c r="C59" s="9">
        <v>42168.252918146733</v>
      </c>
      <c r="D59" s="9">
        <v>0</v>
      </c>
      <c r="E59" s="9">
        <v>48898.400998125871</v>
      </c>
      <c r="F59" s="9">
        <v>91038.509673521723</v>
      </c>
      <c r="G59" s="9">
        <v>11848.23501753167</v>
      </c>
      <c r="H59" s="9">
        <v>320.45977293464779</v>
      </c>
      <c r="I59" s="9">
        <v>43099.02231403716</v>
      </c>
      <c r="J59" s="9">
        <v>5.856936874023198</v>
      </c>
      <c r="K59" s="9">
        <v>0</v>
      </c>
      <c r="L59" s="3">
        <v>0</v>
      </c>
      <c r="M59" s="33">
        <v>237378.7376311718</v>
      </c>
      <c r="N59" s="3">
        <v>2458214.7200000002</v>
      </c>
      <c r="O59" s="34">
        <v>9.6565501662593469</v>
      </c>
    </row>
    <row r="60" spans="1:15" ht="14.1" customHeight="1" x14ac:dyDescent="0.25">
      <c r="A60" s="2" t="s">
        <v>286</v>
      </c>
      <c r="B60" s="2" t="s">
        <v>287</v>
      </c>
      <c r="C60" s="9">
        <v>26927.947501495739</v>
      </c>
      <c r="D60" s="9">
        <v>138734.53531298111</v>
      </c>
      <c r="E60" s="9">
        <v>127533.4316211626</v>
      </c>
      <c r="F60" s="9">
        <v>586.23592521073692</v>
      </c>
      <c r="G60" s="9">
        <v>399.86701809404411</v>
      </c>
      <c r="H60" s="9">
        <v>645.12818146550626</v>
      </c>
      <c r="I60" s="9">
        <v>6204.7840090680338</v>
      </c>
      <c r="J60" s="9">
        <v>0</v>
      </c>
      <c r="K60" s="9">
        <v>18300.564878172601</v>
      </c>
      <c r="L60" s="3">
        <v>0</v>
      </c>
      <c r="M60" s="33">
        <v>319332.49444765027</v>
      </c>
      <c r="N60" s="3">
        <v>3002212.7280000001</v>
      </c>
      <c r="O60" s="34">
        <v>10.6365712019475</v>
      </c>
    </row>
    <row r="61" spans="1:15" ht="14.1" customHeight="1" x14ac:dyDescent="0.25">
      <c r="A61" s="2" t="s">
        <v>288</v>
      </c>
      <c r="B61" s="2" t="s">
        <v>289</v>
      </c>
      <c r="C61" s="9">
        <v>4520.6326041938883</v>
      </c>
      <c r="D61" s="9">
        <v>0</v>
      </c>
      <c r="E61" s="9">
        <v>1217326.93276417</v>
      </c>
      <c r="F61" s="9">
        <v>0</v>
      </c>
      <c r="G61" s="9">
        <v>0</v>
      </c>
      <c r="H61" s="9">
        <v>1176269.9950457129</v>
      </c>
      <c r="I61" s="9">
        <v>2801060.300136101</v>
      </c>
      <c r="J61" s="9">
        <v>0</v>
      </c>
      <c r="K61" s="9">
        <v>0</v>
      </c>
      <c r="L61" s="3">
        <v>0</v>
      </c>
      <c r="M61" s="33">
        <v>5199177.8605501782</v>
      </c>
      <c r="N61" s="3">
        <v>8420100.3920000009</v>
      </c>
      <c r="O61" s="34">
        <v>61.747219373891973</v>
      </c>
    </row>
    <row r="62" spans="1:15" ht="14.1" customHeight="1" x14ac:dyDescent="0.25">
      <c r="A62" s="2" t="s">
        <v>290</v>
      </c>
      <c r="B62" s="2" t="s">
        <v>291</v>
      </c>
      <c r="C62" s="9">
        <v>2521332.622899062</v>
      </c>
      <c r="D62" s="9">
        <v>852032.8870118499</v>
      </c>
      <c r="E62" s="9">
        <v>0</v>
      </c>
      <c r="F62" s="9">
        <v>19964.854105348521</v>
      </c>
      <c r="G62" s="9">
        <v>0</v>
      </c>
      <c r="H62" s="9">
        <v>462620.68579770299</v>
      </c>
      <c r="I62" s="9">
        <v>6978337.7680272171</v>
      </c>
      <c r="J62" s="9">
        <v>0</v>
      </c>
      <c r="K62" s="9">
        <v>0</v>
      </c>
      <c r="L62" s="3">
        <v>0</v>
      </c>
      <c r="M62" s="33">
        <v>10834288.81784118</v>
      </c>
      <c r="N62" s="3">
        <v>19722773.666000001</v>
      </c>
      <c r="O62" s="34">
        <v>54.932886222379373</v>
      </c>
    </row>
    <row r="63" spans="1:15" ht="14.1" customHeight="1" x14ac:dyDescent="0.25">
      <c r="A63" s="2" t="s">
        <v>292</v>
      </c>
      <c r="B63" s="2" t="s">
        <v>293</v>
      </c>
      <c r="C63" s="9">
        <v>0</v>
      </c>
      <c r="D63" s="9">
        <v>0</v>
      </c>
      <c r="E63" s="9">
        <v>324143.32038905221</v>
      </c>
      <c r="F63" s="9">
        <v>1454.596636977205</v>
      </c>
      <c r="G63" s="9">
        <v>568289.09817568655</v>
      </c>
      <c r="H63" s="9">
        <v>577600.22742028371</v>
      </c>
      <c r="I63" s="9">
        <v>16333.139011177531</v>
      </c>
      <c r="J63" s="9">
        <v>0</v>
      </c>
      <c r="K63" s="9">
        <v>0</v>
      </c>
      <c r="L63" s="3">
        <v>0</v>
      </c>
      <c r="M63" s="33">
        <v>1487820.3816331769</v>
      </c>
      <c r="N63" s="3">
        <v>12540703.27</v>
      </c>
      <c r="O63" s="34">
        <v>11.863930990157121</v>
      </c>
    </row>
    <row r="64" spans="1:15" ht="14.1" customHeight="1" x14ac:dyDescent="0.25">
      <c r="A64" s="2" t="s">
        <v>294</v>
      </c>
      <c r="B64" s="2" t="s">
        <v>295</v>
      </c>
      <c r="C64" s="9">
        <v>0</v>
      </c>
      <c r="D64" s="9">
        <v>0</v>
      </c>
      <c r="E64" s="9">
        <v>1952.3209347328259</v>
      </c>
      <c r="F64" s="9">
        <v>0</v>
      </c>
      <c r="G64" s="9">
        <v>5.804188229375761</v>
      </c>
      <c r="H64" s="9">
        <v>0</v>
      </c>
      <c r="I64" s="9">
        <v>0</v>
      </c>
      <c r="J64" s="9">
        <v>0</v>
      </c>
      <c r="K64" s="9">
        <v>0</v>
      </c>
      <c r="L64" s="3">
        <v>0</v>
      </c>
      <c r="M64" s="33">
        <v>1958.1251229622021</v>
      </c>
      <c r="N64" s="3">
        <v>5816.5190000000002</v>
      </c>
      <c r="O64" s="34">
        <v>33.664896873236408</v>
      </c>
    </row>
    <row r="65" spans="1:15" ht="14.1" customHeight="1" x14ac:dyDescent="0.25">
      <c r="A65" s="2" t="s">
        <v>297</v>
      </c>
      <c r="B65" s="2" t="s">
        <v>298</v>
      </c>
      <c r="C65" s="9">
        <v>117000.1223133249</v>
      </c>
      <c r="D65" s="9">
        <v>0</v>
      </c>
      <c r="E65" s="9">
        <v>1382404.861045531</v>
      </c>
      <c r="F65" s="9">
        <v>0</v>
      </c>
      <c r="G65" s="9">
        <v>0</v>
      </c>
      <c r="H65" s="9">
        <v>0.77135754122221312</v>
      </c>
      <c r="I65" s="9">
        <v>5082.5910257321684</v>
      </c>
      <c r="J65" s="9">
        <v>0</v>
      </c>
      <c r="K65" s="9">
        <v>0</v>
      </c>
      <c r="L65" s="3">
        <v>0</v>
      </c>
      <c r="M65" s="33">
        <v>1504488.34574213</v>
      </c>
      <c r="N65" s="3">
        <v>17823125.776000001</v>
      </c>
      <c r="O65" s="34">
        <v>8.4412148836879179</v>
      </c>
    </row>
    <row r="66" spans="1:15" ht="14.1" customHeight="1" x14ac:dyDescent="0.25">
      <c r="A66" s="2" t="s">
        <v>299</v>
      </c>
      <c r="B66" s="2" t="s">
        <v>300</v>
      </c>
      <c r="C66" s="9">
        <v>0</v>
      </c>
      <c r="D66" s="9">
        <v>0</v>
      </c>
      <c r="E66" s="9">
        <v>790722.12173256523</v>
      </c>
      <c r="F66" s="9">
        <v>0</v>
      </c>
      <c r="G66" s="9">
        <v>0</v>
      </c>
      <c r="H66" s="9">
        <v>425995.69619324652</v>
      </c>
      <c r="I66" s="9">
        <v>341.4629632777349</v>
      </c>
      <c r="J66" s="9">
        <v>0</v>
      </c>
      <c r="K66" s="9">
        <v>0</v>
      </c>
      <c r="L66" s="3">
        <v>0</v>
      </c>
      <c r="M66" s="33">
        <v>1217059.280889089</v>
      </c>
      <c r="N66" s="3">
        <v>2851777.2059999998</v>
      </c>
      <c r="O66" s="34">
        <v>42.677221710323522</v>
      </c>
    </row>
    <row r="67" spans="1:15" ht="14.1" customHeight="1" x14ac:dyDescent="0.25">
      <c r="A67" s="2" t="s">
        <v>301</v>
      </c>
      <c r="B67" s="2" t="s">
        <v>302</v>
      </c>
      <c r="C67" s="9">
        <v>56130.605262737481</v>
      </c>
      <c r="D67" s="9">
        <v>0</v>
      </c>
      <c r="E67" s="9">
        <v>373305.34640828829</v>
      </c>
      <c r="F67" s="9">
        <v>21586.553639660498</v>
      </c>
      <c r="G67" s="9">
        <v>16077.96523925608</v>
      </c>
      <c r="H67" s="9">
        <v>22924.196641046248</v>
      </c>
      <c r="I67" s="9">
        <v>68622.480181097941</v>
      </c>
      <c r="J67" s="9">
        <v>0</v>
      </c>
      <c r="K67" s="9">
        <v>10292.5223505833</v>
      </c>
      <c r="L67" s="3">
        <v>0</v>
      </c>
      <c r="M67" s="33">
        <v>568939.66972266987</v>
      </c>
      <c r="N67" s="3">
        <v>9704469.1359999999</v>
      </c>
      <c r="O67" s="34">
        <v>5.8626562849493089</v>
      </c>
    </row>
    <row r="68" spans="1:15" ht="14.1" customHeight="1" x14ac:dyDescent="0.25">
      <c r="A68" s="2" t="s">
        <v>304</v>
      </c>
      <c r="B68" s="2" t="s">
        <v>305</v>
      </c>
      <c r="C68" s="9">
        <v>753111.13738655439</v>
      </c>
      <c r="D68" s="9">
        <v>0</v>
      </c>
      <c r="E68" s="9">
        <v>1817653.414462938</v>
      </c>
      <c r="F68" s="9">
        <v>396.1059047896602</v>
      </c>
      <c r="G68" s="9">
        <v>303323.95208645792</v>
      </c>
      <c r="H68" s="9">
        <v>0</v>
      </c>
      <c r="I68" s="9">
        <v>5766735.9523349982</v>
      </c>
      <c r="J68" s="9">
        <v>0</v>
      </c>
      <c r="K68" s="9">
        <v>0</v>
      </c>
      <c r="L68" s="3">
        <v>0</v>
      </c>
      <c r="M68" s="33">
        <v>8641220.5621757396</v>
      </c>
      <c r="N68" s="3">
        <v>27984282.691</v>
      </c>
      <c r="O68" s="34">
        <v>30.878835300483988</v>
      </c>
    </row>
    <row r="69" spans="1:15" ht="14.1" customHeight="1" x14ac:dyDescent="0.25">
      <c r="A69" s="2" t="s">
        <v>307</v>
      </c>
      <c r="B69" s="2" t="s">
        <v>308</v>
      </c>
      <c r="C69" s="9">
        <v>24906.196834643149</v>
      </c>
      <c r="D69" s="9">
        <v>0</v>
      </c>
      <c r="E69" s="9">
        <v>76194.842003273967</v>
      </c>
      <c r="F69" s="9">
        <v>3542.8563399864152</v>
      </c>
      <c r="G69" s="9">
        <v>10233.084426959231</v>
      </c>
      <c r="H69" s="9">
        <v>1040.59890102141</v>
      </c>
      <c r="I69" s="9">
        <v>40078.621909511741</v>
      </c>
      <c r="J69" s="9">
        <v>0</v>
      </c>
      <c r="K69" s="9">
        <v>0</v>
      </c>
      <c r="L69" s="3">
        <v>0</v>
      </c>
      <c r="M69" s="33">
        <v>155996.2004153959</v>
      </c>
      <c r="N69" s="3">
        <v>1749236.9909999999</v>
      </c>
      <c r="O69" s="34">
        <v>8.9179568702246783</v>
      </c>
    </row>
    <row r="70" spans="1:15" ht="14.1" customHeight="1" x14ac:dyDescent="0.25">
      <c r="A70" s="2" t="s">
        <v>309</v>
      </c>
      <c r="B70" s="2" t="s">
        <v>310</v>
      </c>
      <c r="C70" s="9">
        <v>64109.81833221994</v>
      </c>
      <c r="D70" s="9">
        <v>206741.97686563499</v>
      </c>
      <c r="E70" s="9">
        <v>619807.84010296187</v>
      </c>
      <c r="F70" s="9">
        <v>18052.834045449072</v>
      </c>
      <c r="G70" s="9">
        <v>3686.0884500784291</v>
      </c>
      <c r="H70" s="9">
        <v>7034.4155787151676</v>
      </c>
      <c r="I70" s="9">
        <v>8769.8820029061881</v>
      </c>
      <c r="J70" s="9">
        <v>0</v>
      </c>
      <c r="K70" s="9">
        <v>3643.8781890607961</v>
      </c>
      <c r="L70" s="3">
        <v>0</v>
      </c>
      <c r="M70" s="33">
        <v>931846.73356702633</v>
      </c>
      <c r="N70" s="3">
        <v>2532052.841</v>
      </c>
      <c r="O70" s="34">
        <v>36.80202555326634</v>
      </c>
    </row>
    <row r="71" spans="1:15" ht="14.1" customHeight="1" x14ac:dyDescent="0.25">
      <c r="A71" s="2" t="s">
        <v>311</v>
      </c>
      <c r="B71" s="2" t="s">
        <v>312</v>
      </c>
      <c r="C71" s="9">
        <v>143096.2386570583</v>
      </c>
      <c r="D71" s="9">
        <v>192337.23585598799</v>
      </c>
      <c r="E71" s="9">
        <v>1137741.2349372059</v>
      </c>
      <c r="F71" s="9">
        <v>23255.668788856819</v>
      </c>
      <c r="G71" s="9">
        <v>31082.128179057199</v>
      </c>
      <c r="H71" s="9">
        <v>8823.731651247992</v>
      </c>
      <c r="I71" s="9">
        <v>16489.230357864912</v>
      </c>
      <c r="J71" s="9">
        <v>0</v>
      </c>
      <c r="K71" s="9">
        <v>20443.000127936419</v>
      </c>
      <c r="L71" s="3">
        <v>0</v>
      </c>
      <c r="M71" s="33">
        <v>1573268.468555216</v>
      </c>
      <c r="N71" s="3">
        <v>8375961.0839999998</v>
      </c>
      <c r="O71" s="34">
        <v>18.783139663345828</v>
      </c>
    </row>
    <row r="72" spans="1:15" ht="14.1" customHeight="1" x14ac:dyDescent="0.25">
      <c r="A72" s="2" t="s">
        <v>313</v>
      </c>
      <c r="B72" s="2" t="s">
        <v>314</v>
      </c>
      <c r="C72" s="9">
        <v>39085.009250051007</v>
      </c>
      <c r="D72" s="9">
        <v>64017.244724655473</v>
      </c>
      <c r="E72" s="9">
        <v>940180.41931177245</v>
      </c>
      <c r="F72" s="9">
        <v>26180.128115046042</v>
      </c>
      <c r="G72" s="9">
        <v>4790.4564943565401</v>
      </c>
      <c r="H72" s="9">
        <v>2157.0176015634102</v>
      </c>
      <c r="I72" s="9">
        <v>49504.364055292841</v>
      </c>
      <c r="J72" s="9">
        <v>0</v>
      </c>
      <c r="K72" s="9">
        <v>12984.16762162496</v>
      </c>
      <c r="L72" s="3">
        <v>0</v>
      </c>
      <c r="M72" s="33">
        <v>1138898.8071743629</v>
      </c>
      <c r="N72" s="3">
        <v>7804921.0599999996</v>
      </c>
      <c r="O72" s="34">
        <v>14.59206055281183</v>
      </c>
    </row>
    <row r="73" spans="1:15" ht="14.1" customHeight="1" x14ac:dyDescent="0.25">
      <c r="A73" s="2" t="s">
        <v>316</v>
      </c>
      <c r="B73" s="2" t="s">
        <v>317</v>
      </c>
      <c r="C73" s="9">
        <v>8950.5671431633691</v>
      </c>
      <c r="D73" s="9">
        <v>0</v>
      </c>
      <c r="E73" s="9">
        <v>26793.758781092751</v>
      </c>
      <c r="F73" s="9">
        <v>973.57287130020973</v>
      </c>
      <c r="G73" s="9">
        <v>7185.9260518480414</v>
      </c>
      <c r="H73" s="9">
        <v>0</v>
      </c>
      <c r="I73" s="9">
        <v>10507.109736447661</v>
      </c>
      <c r="J73" s="9">
        <v>0</v>
      </c>
      <c r="K73" s="9">
        <v>0</v>
      </c>
      <c r="L73" s="3">
        <v>0</v>
      </c>
      <c r="M73" s="33">
        <v>54410.934583852038</v>
      </c>
      <c r="N73" s="3">
        <v>2440340.3760000002</v>
      </c>
      <c r="O73" s="34">
        <v>2.2296453035390842</v>
      </c>
    </row>
    <row r="74" spans="1:15" ht="14.1" customHeight="1" x14ac:dyDescent="0.25">
      <c r="A74" s="2" t="s">
        <v>318</v>
      </c>
      <c r="B74" s="2" t="s">
        <v>319</v>
      </c>
      <c r="C74" s="9">
        <v>29070.384160512909</v>
      </c>
      <c r="D74" s="9">
        <v>0</v>
      </c>
      <c r="E74" s="9">
        <v>118770.4843930955</v>
      </c>
      <c r="F74" s="9">
        <v>23049.065607589011</v>
      </c>
      <c r="G74" s="9">
        <v>0</v>
      </c>
      <c r="H74" s="9">
        <v>0</v>
      </c>
      <c r="I74" s="9">
        <v>773632.1019900355</v>
      </c>
      <c r="J74" s="9">
        <v>0</v>
      </c>
      <c r="K74" s="9">
        <v>0</v>
      </c>
      <c r="L74" s="3">
        <v>0</v>
      </c>
      <c r="M74" s="33">
        <v>944522.0361512329</v>
      </c>
      <c r="N74" s="3">
        <v>13166371.955</v>
      </c>
      <c r="O74" s="34">
        <v>7.1737456558224126</v>
      </c>
    </row>
    <row r="75" spans="1:15" ht="14.1" customHeight="1" x14ac:dyDescent="0.25">
      <c r="A75" s="2" t="s">
        <v>320</v>
      </c>
      <c r="B75" s="2" t="s">
        <v>321</v>
      </c>
      <c r="C75" s="9">
        <v>11538.288596023471</v>
      </c>
      <c r="D75" s="9">
        <v>0</v>
      </c>
      <c r="E75" s="9">
        <v>0</v>
      </c>
      <c r="F75" s="9">
        <v>0</v>
      </c>
      <c r="G75" s="9">
        <v>178.47768688615199</v>
      </c>
      <c r="H75" s="9">
        <v>8734.4822745230467</v>
      </c>
      <c r="I75" s="9">
        <v>48420.060308361099</v>
      </c>
      <c r="J75" s="9">
        <v>0</v>
      </c>
      <c r="K75" s="9">
        <v>0</v>
      </c>
      <c r="L75" s="3">
        <v>0</v>
      </c>
      <c r="M75" s="33">
        <v>68871.308865793777</v>
      </c>
      <c r="N75" s="3">
        <v>9857530.8310000002</v>
      </c>
      <c r="O75" s="34">
        <v>0.69866693847111305</v>
      </c>
    </row>
    <row r="76" spans="1:15" ht="14.1" customHeight="1" x14ac:dyDescent="0.25">
      <c r="A76" s="2" t="s">
        <v>322</v>
      </c>
      <c r="B76" s="2" t="s">
        <v>323</v>
      </c>
      <c r="C76" s="9">
        <v>0</v>
      </c>
      <c r="D76" s="9">
        <v>0</v>
      </c>
      <c r="E76" s="9">
        <v>0</v>
      </c>
      <c r="F76" s="9">
        <v>0</v>
      </c>
      <c r="G76" s="9">
        <v>0</v>
      </c>
      <c r="H76" s="9">
        <v>0</v>
      </c>
      <c r="I76" s="9">
        <v>0</v>
      </c>
      <c r="J76" s="9">
        <v>0</v>
      </c>
      <c r="K76" s="9">
        <v>0</v>
      </c>
      <c r="L76" s="3">
        <v>0</v>
      </c>
      <c r="M76" s="33">
        <v>0</v>
      </c>
      <c r="N76" s="3">
        <v>49163.837</v>
      </c>
      <c r="O76" s="34">
        <v>0</v>
      </c>
    </row>
    <row r="77" spans="1:15" ht="14.1" customHeight="1" x14ac:dyDescent="0.25">
      <c r="A77" s="2" t="s">
        <v>324</v>
      </c>
      <c r="B77" s="2" t="s">
        <v>325</v>
      </c>
      <c r="C77" s="9">
        <v>84369.731771001854</v>
      </c>
      <c r="D77" s="9">
        <v>0</v>
      </c>
      <c r="E77" s="9">
        <v>84006.800449901755</v>
      </c>
      <c r="F77" s="9">
        <v>11.30032177184126</v>
      </c>
      <c r="G77" s="9">
        <v>1043.8027135389129</v>
      </c>
      <c r="H77" s="9">
        <v>31.910140692488529</v>
      </c>
      <c r="I77" s="9">
        <v>85.060955805957292</v>
      </c>
      <c r="J77" s="9">
        <v>0</v>
      </c>
      <c r="K77" s="9">
        <v>6301.2950118005519</v>
      </c>
      <c r="L77" s="3">
        <v>0</v>
      </c>
      <c r="M77" s="33">
        <v>175849.90136451341</v>
      </c>
      <c r="N77" s="3">
        <v>1525798.379</v>
      </c>
      <c r="O77" s="34">
        <v>11.52510736574281</v>
      </c>
    </row>
    <row r="78" spans="1:15" ht="14.1" customHeight="1" x14ac:dyDescent="0.25">
      <c r="A78" s="2" t="s">
        <v>326</v>
      </c>
      <c r="B78" s="2" t="s">
        <v>327</v>
      </c>
      <c r="C78" s="9">
        <v>73049.923457563971</v>
      </c>
      <c r="D78" s="9">
        <v>718697.77003673289</v>
      </c>
      <c r="E78" s="9">
        <v>705943.0571471029</v>
      </c>
      <c r="F78" s="9">
        <v>32.513344746941783</v>
      </c>
      <c r="G78" s="9">
        <v>1796.9008233757879</v>
      </c>
      <c r="H78" s="9">
        <v>6042.0010892392484</v>
      </c>
      <c r="I78" s="9">
        <v>0</v>
      </c>
      <c r="J78" s="9">
        <v>0</v>
      </c>
      <c r="K78" s="9">
        <v>28932.829631341261</v>
      </c>
      <c r="L78" s="3">
        <v>0</v>
      </c>
      <c r="M78" s="33">
        <v>1534494.9955301031</v>
      </c>
      <c r="N78" s="3">
        <v>3629596.6170000001</v>
      </c>
      <c r="O78" s="34">
        <v>42.277287463377156</v>
      </c>
    </row>
    <row r="79" spans="1:15" ht="14.1" customHeight="1" x14ac:dyDescent="0.25">
      <c r="A79" s="2" t="s">
        <v>329</v>
      </c>
      <c r="B79" s="2" t="s">
        <v>330</v>
      </c>
      <c r="C79" s="9">
        <v>0</v>
      </c>
      <c r="D79" s="9">
        <v>0</v>
      </c>
      <c r="E79" s="9">
        <v>54402.501322685188</v>
      </c>
      <c r="F79" s="9">
        <v>0</v>
      </c>
      <c r="G79" s="9">
        <v>0</v>
      </c>
      <c r="H79" s="9">
        <v>0</v>
      </c>
      <c r="I79" s="9">
        <v>11554505.830255119</v>
      </c>
      <c r="J79" s="9">
        <v>0</v>
      </c>
      <c r="K79" s="9">
        <v>0</v>
      </c>
      <c r="L79" s="3">
        <v>0</v>
      </c>
      <c r="M79" s="33">
        <v>11608908.3315778</v>
      </c>
      <c r="N79" s="3">
        <v>25997277.469000001</v>
      </c>
      <c r="O79" s="34">
        <v>44.654323305279348</v>
      </c>
    </row>
    <row r="80" spans="1:15" ht="14.1" customHeight="1" x14ac:dyDescent="0.25">
      <c r="A80" s="2" t="s">
        <v>331</v>
      </c>
      <c r="B80" s="2" t="s">
        <v>332</v>
      </c>
      <c r="C80" s="9">
        <v>403.8003236234598</v>
      </c>
      <c r="D80" s="9">
        <v>0.2364118521062715</v>
      </c>
      <c r="E80" s="9">
        <v>219538.06105888059</v>
      </c>
      <c r="F80" s="9">
        <v>385.66521426323311</v>
      </c>
      <c r="G80" s="9">
        <v>26987.038308653799</v>
      </c>
      <c r="H80" s="9">
        <v>21960.790769058069</v>
      </c>
      <c r="I80" s="9">
        <v>185224.15604729101</v>
      </c>
      <c r="J80" s="9">
        <v>0</v>
      </c>
      <c r="K80" s="9">
        <v>0</v>
      </c>
      <c r="L80" s="3">
        <v>0</v>
      </c>
      <c r="M80" s="33">
        <v>454499.74813362223</v>
      </c>
      <c r="N80" s="3">
        <v>767849.44</v>
      </c>
      <c r="O80" s="34">
        <v>59.191258657898118</v>
      </c>
    </row>
    <row r="81" spans="1:15" ht="14.1" customHeight="1" x14ac:dyDescent="0.25">
      <c r="A81" s="2" t="s">
        <v>333</v>
      </c>
      <c r="B81" s="2" t="s">
        <v>334</v>
      </c>
      <c r="C81" s="9">
        <v>268.53315746241481</v>
      </c>
      <c r="D81" s="9">
        <v>0</v>
      </c>
      <c r="E81" s="9">
        <v>0</v>
      </c>
      <c r="F81" s="9">
        <v>509.12227186576467</v>
      </c>
      <c r="G81" s="9">
        <v>17908.49525312633</v>
      </c>
      <c r="H81" s="9">
        <v>1813.737048522609</v>
      </c>
      <c r="I81" s="9">
        <v>6395.2682368557389</v>
      </c>
      <c r="J81" s="9">
        <v>245.15676492131641</v>
      </c>
      <c r="K81" s="9">
        <v>0</v>
      </c>
      <c r="L81" s="3">
        <v>0</v>
      </c>
      <c r="M81" s="33">
        <v>27140.312732754181</v>
      </c>
      <c r="N81" s="3">
        <v>415444.516</v>
      </c>
      <c r="O81" s="34">
        <v>6.5328369222604401</v>
      </c>
    </row>
    <row r="82" spans="1:15" ht="14.1" customHeight="1" x14ac:dyDescent="0.25">
      <c r="A82" s="2" t="s">
        <v>335</v>
      </c>
      <c r="B82" s="2" t="s">
        <v>336</v>
      </c>
      <c r="C82" s="9">
        <v>500.1490273716546</v>
      </c>
      <c r="D82" s="9">
        <v>259.99730186601681</v>
      </c>
      <c r="E82" s="9">
        <v>25656.352966986251</v>
      </c>
      <c r="F82" s="9">
        <v>1319.180800803759</v>
      </c>
      <c r="G82" s="9">
        <v>40181.32839318207</v>
      </c>
      <c r="H82" s="9">
        <v>4225.0078952781414</v>
      </c>
      <c r="I82" s="9">
        <v>17233.109427336949</v>
      </c>
      <c r="J82" s="9">
        <v>0</v>
      </c>
      <c r="K82" s="9">
        <v>0</v>
      </c>
      <c r="L82" s="3">
        <v>0</v>
      </c>
      <c r="M82" s="33">
        <v>89375.125812824845</v>
      </c>
      <c r="N82" s="3">
        <v>623103.44999999995</v>
      </c>
      <c r="O82" s="34">
        <v>14.343545331489469</v>
      </c>
    </row>
    <row r="83" spans="1:15" ht="14.1" customHeight="1" x14ac:dyDescent="0.25">
      <c r="A83" s="2" t="s">
        <v>337</v>
      </c>
      <c r="B83" s="2" t="s">
        <v>338</v>
      </c>
      <c r="C83" s="9">
        <v>9324.369100053962</v>
      </c>
      <c r="D83" s="9">
        <v>6.663383817092714</v>
      </c>
      <c r="E83" s="9">
        <v>68147.696979367582</v>
      </c>
      <c r="F83" s="9">
        <v>5829.5995181058461</v>
      </c>
      <c r="G83" s="9">
        <v>72696.713367287244</v>
      </c>
      <c r="H83" s="9">
        <v>5839.9695698076439</v>
      </c>
      <c r="I83" s="9">
        <v>21725.757868684192</v>
      </c>
      <c r="J83" s="9">
        <v>0</v>
      </c>
      <c r="K83" s="9">
        <v>0</v>
      </c>
      <c r="L83" s="3">
        <v>0</v>
      </c>
      <c r="M83" s="33">
        <v>183570.76978712351</v>
      </c>
      <c r="N83" s="3">
        <v>1131822.091</v>
      </c>
      <c r="O83" s="34">
        <v>16.219048138999749</v>
      </c>
    </row>
    <row r="84" spans="1:15" ht="14.1" customHeight="1" x14ac:dyDescent="0.25">
      <c r="A84" s="2" t="s">
        <v>339</v>
      </c>
      <c r="B84" s="2" t="s">
        <v>340</v>
      </c>
      <c r="C84" s="9">
        <v>29.628763947630691</v>
      </c>
      <c r="D84" s="9">
        <v>4617.3457856549467</v>
      </c>
      <c r="E84" s="9">
        <v>334649.16308818711</v>
      </c>
      <c r="F84" s="9">
        <v>1190.6968265103469</v>
      </c>
      <c r="G84" s="9">
        <v>20522.480867293179</v>
      </c>
      <c r="H84" s="9">
        <v>26138.01410960963</v>
      </c>
      <c r="I84" s="9">
        <v>28970.32240650574</v>
      </c>
      <c r="J84" s="9">
        <v>0</v>
      </c>
      <c r="K84" s="9">
        <v>0</v>
      </c>
      <c r="L84" s="3">
        <v>0</v>
      </c>
      <c r="M84" s="33">
        <v>416117.65184770862</v>
      </c>
      <c r="N84" s="3">
        <v>757227.52599999995</v>
      </c>
      <c r="O84" s="34">
        <v>54.952789955460311</v>
      </c>
    </row>
    <row r="85" spans="1:15" ht="14.1" customHeight="1" x14ac:dyDescent="0.25">
      <c r="A85" s="2" t="s">
        <v>341</v>
      </c>
      <c r="B85" s="2" t="s">
        <v>342</v>
      </c>
      <c r="C85" s="9">
        <v>0</v>
      </c>
      <c r="D85" s="9">
        <v>0</v>
      </c>
      <c r="E85" s="9">
        <v>816823.94011978945</v>
      </c>
      <c r="F85" s="9">
        <v>8730.2753149215278</v>
      </c>
      <c r="G85" s="9">
        <v>41526.342722852882</v>
      </c>
      <c r="H85" s="9">
        <v>43995.062154996282</v>
      </c>
      <c r="I85" s="9">
        <v>438440.60976716859</v>
      </c>
      <c r="J85" s="9">
        <v>0</v>
      </c>
      <c r="K85" s="9">
        <v>0</v>
      </c>
      <c r="L85" s="3">
        <v>0</v>
      </c>
      <c r="M85" s="33">
        <v>1349516.2300797291</v>
      </c>
      <c r="N85" s="3">
        <v>1565077.425</v>
      </c>
      <c r="O85" s="34">
        <v>86.226803129546681</v>
      </c>
    </row>
    <row r="86" spans="1:15" ht="14.1" customHeight="1" x14ac:dyDescent="0.25">
      <c r="A86" s="2" t="s">
        <v>343</v>
      </c>
      <c r="B86" s="2" t="s">
        <v>344</v>
      </c>
      <c r="C86" s="9">
        <v>0</v>
      </c>
      <c r="D86" s="9">
        <v>0</v>
      </c>
      <c r="E86" s="9">
        <v>204361.16993828319</v>
      </c>
      <c r="F86" s="9">
        <v>0</v>
      </c>
      <c r="G86" s="9">
        <v>0</v>
      </c>
      <c r="H86" s="9">
        <v>0</v>
      </c>
      <c r="I86" s="9">
        <v>0</v>
      </c>
      <c r="J86" s="9">
        <v>0</v>
      </c>
      <c r="K86" s="9">
        <v>0</v>
      </c>
      <c r="L86" s="3">
        <v>0</v>
      </c>
      <c r="M86" s="33">
        <v>204361.16993828319</v>
      </c>
      <c r="N86" s="3">
        <v>1010579.627</v>
      </c>
      <c r="O86" s="34">
        <v>20.22217393645154</v>
      </c>
    </row>
    <row r="87" spans="1:15" ht="14.1" customHeight="1" x14ac:dyDescent="0.25">
      <c r="A87" s="2" t="s">
        <v>345</v>
      </c>
      <c r="B87" s="2" t="s">
        <v>346</v>
      </c>
      <c r="C87" s="9">
        <v>112743.19934946331</v>
      </c>
      <c r="D87" s="9">
        <v>0</v>
      </c>
      <c r="E87" s="9">
        <v>176665.4271172341</v>
      </c>
      <c r="F87" s="9">
        <v>2.0138262298074769</v>
      </c>
      <c r="G87" s="9">
        <v>16586.461770720151</v>
      </c>
      <c r="H87" s="9">
        <v>996452.24973274022</v>
      </c>
      <c r="I87" s="9">
        <v>187470.14423663041</v>
      </c>
      <c r="J87" s="9">
        <v>0</v>
      </c>
      <c r="K87" s="9">
        <v>0</v>
      </c>
      <c r="L87" s="3">
        <v>0</v>
      </c>
      <c r="M87" s="33">
        <v>1489919.496033018</v>
      </c>
      <c r="N87" s="3">
        <v>7301242.1220000004</v>
      </c>
      <c r="O87" s="34">
        <v>20.406383888347069</v>
      </c>
    </row>
    <row r="88" spans="1:15" ht="14.1" customHeight="1" x14ac:dyDescent="0.25">
      <c r="A88" s="2" t="s">
        <v>348</v>
      </c>
      <c r="B88" s="2" t="s">
        <v>349</v>
      </c>
      <c r="C88" s="9">
        <v>72494.4369582176</v>
      </c>
      <c r="D88" s="9">
        <v>0</v>
      </c>
      <c r="E88" s="9">
        <v>295733.1577008536</v>
      </c>
      <c r="F88" s="9">
        <v>6150.413294992969</v>
      </c>
      <c r="G88" s="9">
        <v>23988.84630572375</v>
      </c>
      <c r="H88" s="9">
        <v>2667.455176886443</v>
      </c>
      <c r="I88" s="9">
        <v>2041.9202836526599</v>
      </c>
      <c r="J88" s="9">
        <v>0</v>
      </c>
      <c r="K88" s="9">
        <v>0.25223126080837432</v>
      </c>
      <c r="L88" s="3">
        <v>0</v>
      </c>
      <c r="M88" s="33">
        <v>403076.48195158789</v>
      </c>
      <c r="N88" s="3">
        <v>3469788.6159999999</v>
      </c>
      <c r="O88" s="34">
        <v>11.61674460781008</v>
      </c>
    </row>
    <row r="89" spans="1:15" ht="14.1" customHeight="1" x14ac:dyDescent="0.25">
      <c r="A89" s="2" t="s">
        <v>350</v>
      </c>
      <c r="B89" s="2" t="s">
        <v>351</v>
      </c>
      <c r="C89" s="9">
        <v>12406.92709577134</v>
      </c>
      <c r="D89" s="9">
        <v>0</v>
      </c>
      <c r="E89" s="9">
        <v>382890.64768550859</v>
      </c>
      <c r="F89" s="9">
        <v>0</v>
      </c>
      <c r="G89" s="9">
        <v>1021.962009814165</v>
      </c>
      <c r="H89" s="9">
        <v>74.895568653471713</v>
      </c>
      <c r="I89" s="9">
        <v>142.27137250055341</v>
      </c>
      <c r="J89" s="9">
        <v>0</v>
      </c>
      <c r="K89" s="9">
        <v>0</v>
      </c>
      <c r="L89" s="3">
        <v>0</v>
      </c>
      <c r="M89" s="33">
        <v>396536.70373224822</v>
      </c>
      <c r="N89" s="3">
        <v>844771.08200000005</v>
      </c>
      <c r="O89" s="34">
        <v>46.940137059787297</v>
      </c>
    </row>
    <row r="90" spans="1:15" ht="14.1" customHeight="1" x14ac:dyDescent="0.25">
      <c r="A90" s="2" t="s">
        <v>352</v>
      </c>
      <c r="B90" s="2" t="s">
        <v>353</v>
      </c>
      <c r="C90" s="9">
        <v>8.1698022361894811</v>
      </c>
      <c r="D90" s="9">
        <v>0</v>
      </c>
      <c r="E90" s="9">
        <v>966540.53961928212</v>
      </c>
      <c r="F90" s="9">
        <v>4109.729366491234</v>
      </c>
      <c r="G90" s="9">
        <v>25981.238837620938</v>
      </c>
      <c r="H90" s="9">
        <v>18844.540271552509</v>
      </c>
      <c r="I90" s="9">
        <v>39289.587247062896</v>
      </c>
      <c r="J90" s="9">
        <v>379.9873940751736</v>
      </c>
      <c r="K90" s="9">
        <v>133.84737691275001</v>
      </c>
      <c r="L90" s="3">
        <v>0</v>
      </c>
      <c r="M90" s="33">
        <v>1055287.6399152339</v>
      </c>
      <c r="N90" s="3">
        <v>1989106.7350000001</v>
      </c>
      <c r="O90" s="34">
        <v>53.05334406377311</v>
      </c>
    </row>
    <row r="91" spans="1:15" ht="14.1" customHeight="1" x14ac:dyDescent="0.25">
      <c r="A91" s="2" t="s">
        <v>354</v>
      </c>
      <c r="B91" s="2" t="s">
        <v>355</v>
      </c>
      <c r="C91" s="9">
        <v>610730.97238796006</v>
      </c>
      <c r="D91" s="9">
        <v>0</v>
      </c>
      <c r="E91" s="9">
        <v>1084937.632298819</v>
      </c>
      <c r="F91" s="9">
        <v>608.86885439600417</v>
      </c>
      <c r="G91" s="9">
        <v>9553.6485765453181</v>
      </c>
      <c r="H91" s="9">
        <v>0.32933441781364931</v>
      </c>
      <c r="I91" s="9">
        <v>41680.741269984203</v>
      </c>
      <c r="J91" s="9">
        <v>0</v>
      </c>
      <c r="K91" s="9">
        <v>0</v>
      </c>
      <c r="L91" s="3">
        <v>0</v>
      </c>
      <c r="M91" s="33">
        <v>1747512.192722122</v>
      </c>
      <c r="N91" s="3">
        <v>5087577.33</v>
      </c>
      <c r="O91" s="34">
        <v>34.348611910379013</v>
      </c>
    </row>
    <row r="92" spans="1:15" ht="15.75" thickBot="1" x14ac:dyDescent="0.3">
      <c r="A92" s="4" t="s">
        <v>97</v>
      </c>
      <c r="B92" s="4"/>
      <c r="C92" s="5">
        <f>SUM(C3:C91)</f>
        <v>15771365.862477779</v>
      </c>
      <c r="D92" s="5">
        <f t="shared" ref="D92:G92" si="0">SUM(D3:D91)</f>
        <v>3854096.3549506273</v>
      </c>
      <c r="E92" s="5">
        <f t="shared" si="0"/>
        <v>39406506.210298091</v>
      </c>
      <c r="F92" s="5">
        <f t="shared" si="0"/>
        <v>1872923.9144889878</v>
      </c>
      <c r="G92" s="5">
        <f t="shared" si="0"/>
        <v>2453964.2302384321</v>
      </c>
      <c r="H92" s="5">
        <f t="shared" ref="H92:N92" si="1">SUM(H3:H91)</f>
        <v>7995691.0519212987</v>
      </c>
      <c r="I92" s="5">
        <f t="shared" si="1"/>
        <v>98081049.054341763</v>
      </c>
      <c r="J92" s="5">
        <f t="shared" si="1"/>
        <v>2824.8323897381697</v>
      </c>
      <c r="K92" s="5">
        <f t="shared" si="1"/>
        <v>268357.41329698026</v>
      </c>
      <c r="L92" s="23">
        <f t="shared" si="1"/>
        <v>0.37529582351708712</v>
      </c>
      <c r="M92" s="23">
        <f t="shared" si="1"/>
        <v>169706779.2996996</v>
      </c>
      <c r="N92" s="23">
        <f t="shared" si="1"/>
        <v>768928319.47500002</v>
      </c>
      <c r="O92" s="10">
        <f>M92/N92*100</f>
        <v>22.070559114739076</v>
      </c>
    </row>
    <row r="93" spans="1:15" x14ac:dyDescent="0.25">
      <c r="A93" s="11"/>
    </row>
    <row r="95" spans="1:15" ht="45.75" customHeight="1" x14ac:dyDescent="0.25">
      <c r="A95" s="41" t="s">
        <v>362</v>
      </c>
      <c r="B95" s="41"/>
      <c r="C95" s="41"/>
      <c r="D95" s="41"/>
      <c r="E95" s="41"/>
      <c r="F95" s="41"/>
      <c r="G95" s="41"/>
    </row>
    <row r="96" spans="1:15" ht="45.75" customHeight="1" x14ac:dyDescent="0.25">
      <c r="A96" s="41" t="s">
        <v>363</v>
      </c>
      <c r="B96" s="41"/>
      <c r="C96" s="41"/>
      <c r="D96" s="41"/>
      <c r="E96" s="41"/>
      <c r="F96" s="41"/>
      <c r="G96" s="41"/>
    </row>
    <row r="97" spans="1:7" ht="45.75" customHeight="1" x14ac:dyDescent="0.25">
      <c r="A97" s="41" t="s">
        <v>1215</v>
      </c>
      <c r="B97" s="41"/>
      <c r="C97" s="41"/>
      <c r="D97" s="41"/>
      <c r="E97" s="41"/>
      <c r="F97" s="41"/>
      <c r="G97" s="41"/>
    </row>
    <row r="98" spans="1:7" ht="45.75" customHeight="1" x14ac:dyDescent="0.25">
      <c r="A98" s="41" t="s">
        <v>1214</v>
      </c>
      <c r="B98" s="41"/>
      <c r="C98" s="41"/>
      <c r="D98" s="41"/>
      <c r="E98" s="41"/>
      <c r="F98" s="41"/>
      <c r="G98" s="41"/>
    </row>
    <row r="99" spans="1:7" ht="45.75" customHeight="1" x14ac:dyDescent="0.25">
      <c r="A99" s="41" t="s">
        <v>1213</v>
      </c>
      <c r="B99" s="41"/>
      <c r="C99" s="41"/>
      <c r="D99" s="41"/>
      <c r="E99" s="41"/>
      <c r="F99" s="41"/>
      <c r="G99" s="41"/>
    </row>
  </sheetData>
  <mergeCells count="6">
    <mergeCell ref="A99:G99"/>
    <mergeCell ref="A1:O1"/>
    <mergeCell ref="A95:G95"/>
    <mergeCell ref="A96:G96"/>
    <mergeCell ref="A97:G97"/>
    <mergeCell ref="A98:G9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0"/>
  <sheetViews>
    <sheetView zoomScale="115" zoomScaleNormal="115" workbookViewId="0">
      <selection activeCell="G426" sqref="G426"/>
    </sheetView>
  </sheetViews>
  <sheetFormatPr defaultRowHeight="15" x14ac:dyDescent="0.25"/>
  <cols>
    <col min="1" max="1" width="20.7109375" customWidth="1"/>
    <col min="2" max="2" width="35.7109375" customWidth="1"/>
    <col min="3" max="8" width="20.7109375" customWidth="1"/>
  </cols>
  <sheetData>
    <row r="1" spans="1:8" ht="24.95" customHeight="1" x14ac:dyDescent="0.25">
      <c r="A1" s="38" t="s">
        <v>364</v>
      </c>
      <c r="B1" s="38"/>
      <c r="C1" s="38"/>
      <c r="D1" s="38"/>
      <c r="E1" s="38"/>
      <c r="F1" s="38"/>
      <c r="G1" s="38"/>
      <c r="H1" s="38"/>
    </row>
    <row r="2" spans="1:8" s="25" customFormat="1" ht="32.25" x14ac:dyDescent="0.25">
      <c r="A2" s="26" t="s">
        <v>152</v>
      </c>
      <c r="B2" s="26" t="s">
        <v>365</v>
      </c>
      <c r="C2" s="26" t="s">
        <v>366</v>
      </c>
      <c r="D2" s="26" t="s">
        <v>1224</v>
      </c>
      <c r="E2" s="26" t="s">
        <v>367</v>
      </c>
      <c r="F2" s="35" t="s">
        <v>1220</v>
      </c>
      <c r="G2" s="26" t="s">
        <v>368</v>
      </c>
      <c r="H2" s="35" t="s">
        <v>1221</v>
      </c>
    </row>
    <row r="3" spans="1:8" ht="14.1" customHeight="1" x14ac:dyDescent="0.25">
      <c r="A3" s="2" t="s">
        <v>211</v>
      </c>
      <c r="B3" s="2" t="s">
        <v>369</v>
      </c>
      <c r="C3" s="2" t="s">
        <v>370</v>
      </c>
      <c r="D3" s="2" t="s">
        <v>32</v>
      </c>
      <c r="E3" s="9">
        <v>2866760.3709999998</v>
      </c>
      <c r="F3" s="9">
        <v>145483.82610875001</v>
      </c>
      <c r="G3" s="3">
        <v>5.0748513053430253</v>
      </c>
      <c r="H3" s="3">
        <v>8.5726584807171866E-2</v>
      </c>
    </row>
    <row r="4" spans="1:8" ht="14.1" customHeight="1" x14ac:dyDescent="0.25">
      <c r="A4" s="2" t="s">
        <v>160</v>
      </c>
      <c r="B4" s="2" t="s">
        <v>371</v>
      </c>
      <c r="C4" s="2" t="s">
        <v>372</v>
      </c>
      <c r="D4" s="2" t="s">
        <v>21</v>
      </c>
      <c r="E4" s="9">
        <v>1038621.409</v>
      </c>
      <c r="F4" s="9">
        <v>965535.5660483347</v>
      </c>
      <c r="G4" s="3">
        <v>92.96318732520318</v>
      </c>
      <c r="H4" s="3">
        <v>0.56894342691613464</v>
      </c>
    </row>
    <row r="5" spans="1:8" ht="14.1" customHeight="1" x14ac:dyDescent="0.25">
      <c r="A5" s="2" t="s">
        <v>235</v>
      </c>
      <c r="B5" s="2" t="s">
        <v>373</v>
      </c>
      <c r="C5" s="2" t="s">
        <v>374</v>
      </c>
      <c r="D5" s="2" t="s">
        <v>21</v>
      </c>
      <c r="E5" s="9">
        <v>722845.20299999998</v>
      </c>
      <c r="F5" s="9">
        <v>684481.19180971954</v>
      </c>
      <c r="G5" s="3">
        <v>94.692638059841912</v>
      </c>
      <c r="H5" s="3">
        <v>0.40333167272303982</v>
      </c>
    </row>
    <row r="6" spans="1:8" ht="14.1" customHeight="1" x14ac:dyDescent="0.25">
      <c r="A6" s="2" t="s">
        <v>169</v>
      </c>
      <c r="B6" s="2" t="s">
        <v>375</v>
      </c>
      <c r="C6" s="2" t="s">
        <v>376</v>
      </c>
      <c r="D6" s="2" t="s">
        <v>32</v>
      </c>
      <c r="E6" s="9">
        <v>382283.52399999998</v>
      </c>
      <c r="F6" s="9">
        <v>195.8775458479187</v>
      </c>
      <c r="G6" s="3">
        <v>5.1238814531781578E-2</v>
      </c>
      <c r="H6" s="3">
        <v>1.154211673908015E-4</v>
      </c>
    </row>
    <row r="7" spans="1:8" ht="14.1" customHeight="1" x14ac:dyDescent="0.25">
      <c r="A7" s="2" t="s">
        <v>305</v>
      </c>
      <c r="B7" s="2" t="s">
        <v>377</v>
      </c>
      <c r="C7" s="2" t="s">
        <v>378</v>
      </c>
      <c r="D7" s="2" t="s">
        <v>21</v>
      </c>
      <c r="E7" s="9">
        <v>1355194.952</v>
      </c>
      <c r="F7" s="9">
        <v>0</v>
      </c>
      <c r="G7" s="3">
        <v>0</v>
      </c>
      <c r="H7" s="3">
        <v>0</v>
      </c>
    </row>
    <row r="8" spans="1:8" ht="14.1" customHeight="1" x14ac:dyDescent="0.25">
      <c r="A8" s="2" t="s">
        <v>346</v>
      </c>
      <c r="B8" s="2" t="s">
        <v>379</v>
      </c>
      <c r="C8" s="2" t="s">
        <v>380</v>
      </c>
      <c r="D8" s="2" t="s">
        <v>21</v>
      </c>
      <c r="E8" s="9">
        <v>689003.99699999997</v>
      </c>
      <c r="F8" s="9">
        <v>7118.5200304831287</v>
      </c>
      <c r="G8" s="3">
        <v>1.0331609194544531</v>
      </c>
      <c r="H8" s="3">
        <v>4.1945996844941422E-3</v>
      </c>
    </row>
    <row r="9" spans="1:8" ht="14.1" customHeight="1" x14ac:dyDescent="0.25">
      <c r="A9" s="2" t="s">
        <v>171</v>
      </c>
      <c r="B9" s="2" t="s">
        <v>381</v>
      </c>
      <c r="C9" s="2" t="s">
        <v>382</v>
      </c>
      <c r="D9" s="2" t="s">
        <v>32</v>
      </c>
      <c r="E9" s="9">
        <v>715288.45</v>
      </c>
      <c r="F9" s="9">
        <v>113912.99578887181</v>
      </c>
      <c r="G9" s="3">
        <v>15.925462768044399</v>
      </c>
      <c r="H9" s="3">
        <v>6.7123420900644035E-2</v>
      </c>
    </row>
    <row r="10" spans="1:8" ht="14.1" customHeight="1" x14ac:dyDescent="0.25">
      <c r="A10" s="2" t="s">
        <v>229</v>
      </c>
      <c r="B10" s="2" t="s">
        <v>383</v>
      </c>
      <c r="C10" s="2" t="s">
        <v>384</v>
      </c>
      <c r="D10" s="2" t="s">
        <v>39</v>
      </c>
      <c r="E10" s="9">
        <v>1089865.4439999999</v>
      </c>
      <c r="F10" s="9">
        <v>1045.5307455381151</v>
      </c>
      <c r="G10" s="3">
        <v>9.5932094305222815E-2</v>
      </c>
      <c r="H10" s="3">
        <v>6.1608071854585451E-4</v>
      </c>
    </row>
    <row r="11" spans="1:8" ht="14.1" customHeight="1" x14ac:dyDescent="0.25">
      <c r="A11" s="2" t="s">
        <v>287</v>
      </c>
      <c r="B11" s="2" t="s">
        <v>385</v>
      </c>
      <c r="C11" s="2" t="s">
        <v>386</v>
      </c>
      <c r="D11" s="2" t="s">
        <v>10</v>
      </c>
      <c r="E11" s="9">
        <v>290577.02899999998</v>
      </c>
      <c r="F11" s="9">
        <v>9940.3032535555158</v>
      </c>
      <c r="G11" s="3">
        <v>3.420884055344759</v>
      </c>
      <c r="H11" s="3">
        <v>5.857340108981925E-3</v>
      </c>
    </row>
    <row r="12" spans="1:8" ht="14.1" customHeight="1" x14ac:dyDescent="0.25">
      <c r="A12" s="2" t="s">
        <v>246</v>
      </c>
      <c r="B12" s="2" t="s">
        <v>387</v>
      </c>
      <c r="C12" s="2" t="s">
        <v>388</v>
      </c>
      <c r="D12" s="2" t="s">
        <v>32</v>
      </c>
      <c r="E12" s="9">
        <v>1589436.5689999999</v>
      </c>
      <c r="F12" s="9">
        <v>11110.35882687197</v>
      </c>
      <c r="G12" s="3">
        <v>0.69901240751382088</v>
      </c>
      <c r="H12" s="3">
        <v>6.5467972879541007E-3</v>
      </c>
    </row>
    <row r="13" spans="1:8" ht="14.1" customHeight="1" x14ac:dyDescent="0.25">
      <c r="A13" s="2" t="s">
        <v>227</v>
      </c>
      <c r="B13" s="2" t="s">
        <v>389</v>
      </c>
      <c r="C13" s="2" t="s">
        <v>390</v>
      </c>
      <c r="D13" s="2" t="s">
        <v>7</v>
      </c>
      <c r="E13" s="9">
        <v>3687030.017</v>
      </c>
      <c r="F13" s="9">
        <v>394044.29157598841</v>
      </c>
      <c r="G13" s="3">
        <v>10.687309019973959</v>
      </c>
      <c r="H13" s="3">
        <v>0.23219124959169091</v>
      </c>
    </row>
    <row r="14" spans="1:8" ht="14.1" customHeight="1" x14ac:dyDescent="0.25">
      <c r="A14" s="2" t="s">
        <v>209</v>
      </c>
      <c r="B14" s="2" t="s">
        <v>391</v>
      </c>
      <c r="C14" s="2" t="s">
        <v>392</v>
      </c>
      <c r="D14" s="2" t="s">
        <v>21</v>
      </c>
      <c r="E14" s="9">
        <v>1218620.9809999999</v>
      </c>
      <c r="F14" s="9">
        <v>209.36727011140439</v>
      </c>
      <c r="G14" s="3">
        <v>1.7180671708080859E-2</v>
      </c>
      <c r="H14" s="3">
        <v>1.2337000969190131E-4</v>
      </c>
    </row>
    <row r="15" spans="1:8" ht="14.1" customHeight="1" x14ac:dyDescent="0.25">
      <c r="A15" s="2" t="s">
        <v>177</v>
      </c>
      <c r="B15" s="2" t="s">
        <v>393</v>
      </c>
      <c r="C15" s="2" t="s">
        <v>394</v>
      </c>
      <c r="D15" s="2" t="s">
        <v>21</v>
      </c>
      <c r="E15" s="9">
        <v>3531110.7779999999</v>
      </c>
      <c r="F15" s="9">
        <v>112943.6115999943</v>
      </c>
      <c r="G15" s="3">
        <v>3.198529264606218</v>
      </c>
      <c r="H15" s="3">
        <v>6.6552209666369613E-2</v>
      </c>
    </row>
    <row r="16" spans="1:8" ht="14.1" customHeight="1" x14ac:dyDescent="0.25">
      <c r="A16" s="2" t="s">
        <v>353</v>
      </c>
      <c r="B16" s="2" t="s">
        <v>395</v>
      </c>
      <c r="C16" s="2" t="s">
        <v>396</v>
      </c>
      <c r="D16" s="2" t="s">
        <v>32</v>
      </c>
      <c r="E16" s="9">
        <v>177037.19500000001</v>
      </c>
      <c r="F16" s="9">
        <v>47811.105527868749</v>
      </c>
      <c r="G16" s="3">
        <v>27.006248900333489</v>
      </c>
      <c r="H16" s="3">
        <v>2.8172772894326369E-2</v>
      </c>
    </row>
    <row r="17" spans="1:8" ht="14.1" customHeight="1" x14ac:dyDescent="0.25">
      <c r="A17" s="2" t="s">
        <v>227</v>
      </c>
      <c r="B17" s="2" t="s">
        <v>397</v>
      </c>
      <c r="C17" s="2" t="s">
        <v>398</v>
      </c>
      <c r="D17" s="2" t="s">
        <v>7</v>
      </c>
      <c r="E17" s="9">
        <v>9669570.9930000007</v>
      </c>
      <c r="F17" s="9">
        <v>993440.25676155789</v>
      </c>
      <c r="G17" s="3">
        <v>10.27388141087882</v>
      </c>
      <c r="H17" s="3">
        <v>0.58538631200465885</v>
      </c>
    </row>
    <row r="18" spans="1:8" ht="14.1" customHeight="1" x14ac:dyDescent="0.25">
      <c r="A18" s="2" t="s">
        <v>319</v>
      </c>
      <c r="B18" s="2" t="s">
        <v>399</v>
      </c>
      <c r="C18" s="2" t="s">
        <v>400</v>
      </c>
      <c r="D18" s="2" t="s">
        <v>39</v>
      </c>
      <c r="E18" s="9">
        <v>2688870.2059999998</v>
      </c>
      <c r="F18" s="9">
        <v>45435.729546551003</v>
      </c>
      <c r="G18" s="3">
        <v>1.689770277686323</v>
      </c>
      <c r="H18" s="3">
        <v>2.677307867430263E-2</v>
      </c>
    </row>
    <row r="19" spans="1:8" ht="14.1" customHeight="1" x14ac:dyDescent="0.25">
      <c r="A19" s="2" t="s">
        <v>171</v>
      </c>
      <c r="B19" s="2" t="s">
        <v>401</v>
      </c>
      <c r="C19" s="2" t="s">
        <v>402</v>
      </c>
      <c r="D19" s="2" t="s">
        <v>32</v>
      </c>
      <c r="E19" s="9">
        <v>1547554.66</v>
      </c>
      <c r="F19" s="9">
        <v>12262.170151914959</v>
      </c>
      <c r="G19" s="3">
        <v>0.79235780608324113</v>
      </c>
      <c r="H19" s="3">
        <v>7.2255040135000004E-3</v>
      </c>
    </row>
    <row r="20" spans="1:8" ht="14.1" customHeight="1" x14ac:dyDescent="0.25">
      <c r="A20" s="2" t="s">
        <v>171</v>
      </c>
      <c r="B20" s="2" t="s">
        <v>403</v>
      </c>
      <c r="C20" s="2" t="s">
        <v>404</v>
      </c>
      <c r="D20" s="2" t="s">
        <v>32</v>
      </c>
      <c r="E20" s="9">
        <v>1301711.737</v>
      </c>
      <c r="F20" s="9">
        <v>7827.7676725029751</v>
      </c>
      <c r="G20" s="3">
        <v>0.60134417244660487</v>
      </c>
      <c r="H20" s="3">
        <v>4.6125250289063219E-3</v>
      </c>
    </row>
    <row r="21" spans="1:8" ht="14.1" customHeight="1" x14ac:dyDescent="0.25">
      <c r="A21" s="2" t="s">
        <v>209</v>
      </c>
      <c r="B21" s="2" t="s">
        <v>405</v>
      </c>
      <c r="C21" s="2" t="s">
        <v>406</v>
      </c>
      <c r="D21" s="2" t="s">
        <v>21</v>
      </c>
      <c r="E21" s="9">
        <v>2996896.7340000002</v>
      </c>
      <c r="F21" s="9">
        <v>0</v>
      </c>
      <c r="G21" s="3">
        <v>0</v>
      </c>
      <c r="H21" s="3">
        <v>0</v>
      </c>
    </row>
    <row r="22" spans="1:8" ht="14.1" customHeight="1" x14ac:dyDescent="0.25">
      <c r="A22" s="2" t="s">
        <v>265</v>
      </c>
      <c r="B22" s="2" t="s">
        <v>407</v>
      </c>
      <c r="C22" s="2" t="s">
        <v>408</v>
      </c>
      <c r="D22" s="2" t="s">
        <v>266</v>
      </c>
      <c r="E22" s="9">
        <v>9479612.466</v>
      </c>
      <c r="F22" s="9">
        <v>168014.69023179801</v>
      </c>
      <c r="G22" s="3">
        <v>1.7723793122810341</v>
      </c>
      <c r="H22" s="3">
        <v>9.9002933702337245E-2</v>
      </c>
    </row>
    <row r="23" spans="1:8" ht="14.1" customHeight="1" x14ac:dyDescent="0.25">
      <c r="A23" s="2" t="s">
        <v>195</v>
      </c>
      <c r="B23" s="2" t="s">
        <v>409</v>
      </c>
      <c r="C23" s="2" t="s">
        <v>410</v>
      </c>
      <c r="D23" s="2" t="s">
        <v>10</v>
      </c>
      <c r="E23" s="9">
        <v>1773541.949</v>
      </c>
      <c r="F23" s="9">
        <v>96674.549589524264</v>
      </c>
      <c r="G23" s="3">
        <v>5.4509310954857071</v>
      </c>
      <c r="H23" s="3">
        <v>5.6965638007667463E-2</v>
      </c>
    </row>
    <row r="24" spans="1:8" ht="14.1" customHeight="1" x14ac:dyDescent="0.25">
      <c r="A24" s="2" t="s">
        <v>174</v>
      </c>
      <c r="B24" s="2" t="s">
        <v>411</v>
      </c>
      <c r="C24" s="2" t="s">
        <v>412</v>
      </c>
      <c r="D24" s="2" t="s">
        <v>175</v>
      </c>
      <c r="E24" s="9">
        <v>1802995.7050000001</v>
      </c>
      <c r="F24" s="9">
        <v>97284.456334605682</v>
      </c>
      <c r="G24" s="3">
        <v>5.3957120399577256</v>
      </c>
      <c r="H24" s="3">
        <v>5.7325026564493037E-2</v>
      </c>
    </row>
    <row r="25" spans="1:8" ht="14.1" customHeight="1" x14ac:dyDescent="0.25">
      <c r="A25" s="2" t="s">
        <v>174</v>
      </c>
      <c r="B25" s="2" t="s">
        <v>413</v>
      </c>
      <c r="C25" s="2" t="s">
        <v>414</v>
      </c>
      <c r="D25" s="2" t="s">
        <v>175</v>
      </c>
      <c r="E25" s="9">
        <v>1954973.1810000001</v>
      </c>
      <c r="F25" s="9">
        <v>17689.375475868092</v>
      </c>
      <c r="G25" s="3">
        <v>0.90483980280587217</v>
      </c>
      <c r="H25" s="3">
        <v>1.0423493713894739E-2</v>
      </c>
    </row>
    <row r="26" spans="1:8" ht="14.1" customHeight="1" x14ac:dyDescent="0.25">
      <c r="A26" s="2" t="s">
        <v>277</v>
      </c>
      <c r="B26" s="2" t="s">
        <v>415</v>
      </c>
      <c r="C26" s="2" t="s">
        <v>416</v>
      </c>
      <c r="D26" s="2" t="s">
        <v>10</v>
      </c>
      <c r="E26" s="9">
        <v>110903.045</v>
      </c>
      <c r="F26" s="9">
        <v>72616.633849762249</v>
      </c>
      <c r="G26" s="3">
        <v>65.477583460185656</v>
      </c>
      <c r="H26" s="3">
        <v>4.2789471425364038E-2</v>
      </c>
    </row>
    <row r="27" spans="1:8" ht="14.1" customHeight="1" x14ac:dyDescent="0.25">
      <c r="A27" s="2" t="s">
        <v>169</v>
      </c>
      <c r="B27" s="2" t="s">
        <v>417</v>
      </c>
      <c r="C27" s="2" t="s">
        <v>418</v>
      </c>
      <c r="D27" s="2" t="s">
        <v>32</v>
      </c>
      <c r="E27" s="9">
        <v>1274731.1129999999</v>
      </c>
      <c r="F27" s="9">
        <v>15295.468063933589</v>
      </c>
      <c r="G27" s="3">
        <v>1.1998976025568771</v>
      </c>
      <c r="H27" s="3">
        <v>9.0128798177746619E-3</v>
      </c>
    </row>
    <row r="28" spans="1:8" ht="14.1" customHeight="1" x14ac:dyDescent="0.25">
      <c r="A28" s="2" t="s">
        <v>310</v>
      </c>
      <c r="B28" s="2" t="s">
        <v>419</v>
      </c>
      <c r="C28" s="2" t="s">
        <v>420</v>
      </c>
      <c r="D28" s="2" t="s">
        <v>10</v>
      </c>
      <c r="E28" s="9">
        <v>174020.424</v>
      </c>
      <c r="F28" s="9">
        <v>28059.60433611702</v>
      </c>
      <c r="G28" s="3">
        <v>16.124316727395762</v>
      </c>
      <c r="H28" s="3">
        <v>1.653416819666079E-2</v>
      </c>
    </row>
    <row r="29" spans="1:8" ht="14.1" customHeight="1" x14ac:dyDescent="0.25">
      <c r="A29" s="2" t="s">
        <v>312</v>
      </c>
      <c r="B29" s="2" t="s">
        <v>421</v>
      </c>
      <c r="C29" s="2" t="s">
        <v>422</v>
      </c>
      <c r="D29" s="2" t="s">
        <v>10</v>
      </c>
      <c r="E29" s="9">
        <v>161486.48300000001</v>
      </c>
      <c r="F29" s="9">
        <v>4932.0323414901804</v>
      </c>
      <c r="G29" s="3">
        <v>3.054145616317733</v>
      </c>
      <c r="H29" s="3">
        <v>2.9062082026796721E-3</v>
      </c>
    </row>
    <row r="30" spans="1:8" ht="14.1" customHeight="1" x14ac:dyDescent="0.25">
      <c r="A30" s="2" t="s">
        <v>179</v>
      </c>
      <c r="B30" s="2" t="s">
        <v>423</v>
      </c>
      <c r="C30" s="2" t="s">
        <v>424</v>
      </c>
      <c r="D30" s="2" t="s">
        <v>32</v>
      </c>
      <c r="E30" s="9">
        <v>504409.092</v>
      </c>
      <c r="F30" s="9">
        <v>187011.7635714752</v>
      </c>
      <c r="G30" s="3">
        <v>37.075414883971838</v>
      </c>
      <c r="H30" s="3">
        <v>0.11019699054219891</v>
      </c>
    </row>
    <row r="31" spans="1:8" ht="14.1" customHeight="1" x14ac:dyDescent="0.25">
      <c r="A31" s="2" t="s">
        <v>287</v>
      </c>
      <c r="B31" s="2" t="s">
        <v>425</v>
      </c>
      <c r="C31" s="2" t="s">
        <v>426</v>
      </c>
      <c r="D31" s="2" t="s">
        <v>10</v>
      </c>
      <c r="E31" s="9">
        <v>24624.896000000001</v>
      </c>
      <c r="F31" s="9">
        <v>30.958737535266678</v>
      </c>
      <c r="G31" s="3">
        <v>0.12572129252958739</v>
      </c>
      <c r="H31" s="3">
        <v>1.8242487222298801E-5</v>
      </c>
    </row>
    <row r="32" spans="1:8" ht="14.1" customHeight="1" x14ac:dyDescent="0.25">
      <c r="A32" s="2" t="s">
        <v>353</v>
      </c>
      <c r="B32" s="2" t="s">
        <v>427</v>
      </c>
      <c r="C32" s="2" t="s">
        <v>428</v>
      </c>
      <c r="D32" s="2" t="s">
        <v>32</v>
      </c>
      <c r="E32" s="9">
        <v>271062.09399999998</v>
      </c>
      <c r="F32" s="9">
        <v>212026.53915519471</v>
      </c>
      <c r="G32" s="3">
        <v>78.220652702253062</v>
      </c>
      <c r="H32" s="3">
        <v>0.1249369883678482</v>
      </c>
    </row>
    <row r="33" spans="1:8" ht="14.1" customHeight="1" x14ac:dyDescent="0.25">
      <c r="A33" s="2" t="s">
        <v>169</v>
      </c>
      <c r="B33" s="2" t="s">
        <v>429</v>
      </c>
      <c r="C33" s="2" t="s">
        <v>430</v>
      </c>
      <c r="D33" s="2" t="s">
        <v>32</v>
      </c>
      <c r="E33" s="9">
        <v>1772127.2930000001</v>
      </c>
      <c r="F33" s="9">
        <v>33294.520813749463</v>
      </c>
      <c r="G33" s="3">
        <v>1.8787883322639769</v>
      </c>
      <c r="H33" s="3">
        <v>1.9618851376788031E-2</v>
      </c>
    </row>
    <row r="34" spans="1:8" ht="14.1" customHeight="1" x14ac:dyDescent="0.25">
      <c r="A34" s="2" t="s">
        <v>167</v>
      </c>
      <c r="B34" s="2" t="s">
        <v>166</v>
      </c>
      <c r="C34" s="2" t="s">
        <v>431</v>
      </c>
      <c r="D34" s="2" t="s">
        <v>65</v>
      </c>
      <c r="E34" s="9">
        <v>657499.64399999997</v>
      </c>
      <c r="F34" s="9">
        <v>106071.67575661661</v>
      </c>
      <c r="G34" s="3">
        <v>16.132582994465722</v>
      </c>
      <c r="H34" s="3">
        <v>6.2502910121371436E-2</v>
      </c>
    </row>
    <row r="35" spans="1:8" ht="14.1" customHeight="1" x14ac:dyDescent="0.25">
      <c r="A35" s="2" t="s">
        <v>289</v>
      </c>
      <c r="B35" s="2" t="s">
        <v>432</v>
      </c>
      <c r="C35" s="2" t="s">
        <v>433</v>
      </c>
      <c r="D35" s="2" t="s">
        <v>7</v>
      </c>
      <c r="E35" s="9">
        <v>2449184.9789999998</v>
      </c>
      <c r="F35" s="9">
        <v>1587512.5869163489</v>
      </c>
      <c r="G35" s="3">
        <v>64.817994578936592</v>
      </c>
      <c r="H35" s="3">
        <v>0.93544441368353604</v>
      </c>
    </row>
    <row r="36" spans="1:8" ht="14.1" customHeight="1" x14ac:dyDescent="0.25">
      <c r="A36" s="2" t="s">
        <v>169</v>
      </c>
      <c r="B36" s="2" t="s">
        <v>434</v>
      </c>
      <c r="C36" s="2" t="s">
        <v>435</v>
      </c>
      <c r="D36" s="2" t="s">
        <v>32</v>
      </c>
      <c r="E36" s="9">
        <v>95821.228000000003</v>
      </c>
      <c r="F36" s="9">
        <v>0</v>
      </c>
      <c r="G36" s="3">
        <v>0</v>
      </c>
      <c r="H36" s="3">
        <v>0</v>
      </c>
    </row>
    <row r="37" spans="1:8" ht="14.1" customHeight="1" x14ac:dyDescent="0.25">
      <c r="A37" s="2" t="s">
        <v>174</v>
      </c>
      <c r="B37" s="2" t="s">
        <v>436</v>
      </c>
      <c r="C37" s="2" t="s">
        <v>437</v>
      </c>
      <c r="D37" s="2" t="s">
        <v>39</v>
      </c>
      <c r="E37" s="9">
        <v>279257.57900000003</v>
      </c>
      <c r="F37" s="9">
        <v>87597.307881635905</v>
      </c>
      <c r="G37" s="3">
        <v>31.367924979982689</v>
      </c>
      <c r="H37" s="3">
        <v>5.1616858339851947E-2</v>
      </c>
    </row>
    <row r="38" spans="1:8" ht="14.1" customHeight="1" x14ac:dyDescent="0.25">
      <c r="A38" s="2" t="s">
        <v>287</v>
      </c>
      <c r="B38" s="2" t="s">
        <v>438</v>
      </c>
      <c r="C38" s="2" t="s">
        <v>439</v>
      </c>
      <c r="D38" s="2" t="s">
        <v>10</v>
      </c>
      <c r="E38" s="9">
        <v>64555.421000000002</v>
      </c>
      <c r="F38" s="9">
        <v>31063.937351601449</v>
      </c>
      <c r="G38" s="3">
        <v>48.119796711729983</v>
      </c>
      <c r="H38" s="3">
        <v>1.8304476387815939E-2</v>
      </c>
    </row>
    <row r="39" spans="1:8" ht="14.1" customHeight="1" x14ac:dyDescent="0.25">
      <c r="A39" s="2" t="s">
        <v>321</v>
      </c>
      <c r="B39" s="2" t="s">
        <v>440</v>
      </c>
      <c r="C39" s="2" t="s">
        <v>441</v>
      </c>
      <c r="D39" s="2" t="s">
        <v>21</v>
      </c>
      <c r="E39" s="9">
        <v>3584735.8289999999</v>
      </c>
      <c r="F39" s="9">
        <v>8734.4822745230467</v>
      </c>
      <c r="G39" s="3">
        <v>0.24365762754014769</v>
      </c>
      <c r="H39" s="3">
        <v>5.1468081056235343E-3</v>
      </c>
    </row>
    <row r="40" spans="1:8" ht="14.1" customHeight="1" x14ac:dyDescent="0.25">
      <c r="A40" s="2" t="s">
        <v>205</v>
      </c>
      <c r="B40" s="2" t="s">
        <v>442</v>
      </c>
      <c r="C40" s="2" t="s">
        <v>443</v>
      </c>
      <c r="D40" s="2" t="s">
        <v>10</v>
      </c>
      <c r="E40" s="9">
        <v>1999951.044</v>
      </c>
      <c r="F40" s="9">
        <v>33480.329187440009</v>
      </c>
      <c r="G40" s="3">
        <v>1.6740574369499419</v>
      </c>
      <c r="H40" s="3">
        <v>1.9728339267855451E-2</v>
      </c>
    </row>
    <row r="41" spans="1:8" ht="14.1" customHeight="1" x14ac:dyDescent="0.25">
      <c r="A41" s="2" t="s">
        <v>169</v>
      </c>
      <c r="B41" s="2" t="s">
        <v>444</v>
      </c>
      <c r="C41" s="2" t="s">
        <v>445</v>
      </c>
      <c r="D41" s="2" t="s">
        <v>32</v>
      </c>
      <c r="E41" s="9">
        <v>1054392.0020000001</v>
      </c>
      <c r="F41" s="9">
        <v>52024.000432857873</v>
      </c>
      <c r="G41" s="3">
        <v>4.9340283627130423</v>
      </c>
      <c r="H41" s="3">
        <v>3.0655228174862399E-2</v>
      </c>
    </row>
    <row r="42" spans="1:8" ht="14.1" customHeight="1" x14ac:dyDescent="0.25">
      <c r="A42" s="2" t="s">
        <v>312</v>
      </c>
      <c r="B42" s="2" t="s">
        <v>446</v>
      </c>
      <c r="C42" s="2" t="s">
        <v>447</v>
      </c>
      <c r="D42" s="2" t="s">
        <v>448</v>
      </c>
      <c r="E42" s="9">
        <v>541990.36899999995</v>
      </c>
      <c r="F42" s="9">
        <v>247703.57001486589</v>
      </c>
      <c r="G42" s="3">
        <v>45.702577791537458</v>
      </c>
      <c r="H42" s="3">
        <v>0.14595973772401</v>
      </c>
    </row>
    <row r="43" spans="1:8" ht="14.1" customHeight="1" x14ac:dyDescent="0.25">
      <c r="A43" s="2" t="s">
        <v>171</v>
      </c>
      <c r="B43" s="2" t="s">
        <v>449</v>
      </c>
      <c r="C43" s="2" t="s">
        <v>450</v>
      </c>
      <c r="D43" s="2" t="s">
        <v>32</v>
      </c>
      <c r="E43" s="9">
        <v>220541.45600000001</v>
      </c>
      <c r="F43" s="9">
        <v>25436.290869464679</v>
      </c>
      <c r="G43" s="3">
        <v>11.533564405897771</v>
      </c>
      <c r="H43" s="3">
        <v>1.4988376403924581E-2</v>
      </c>
    </row>
    <row r="44" spans="1:8" ht="14.1" customHeight="1" x14ac:dyDescent="0.25">
      <c r="A44" s="2" t="s">
        <v>195</v>
      </c>
      <c r="B44" s="2" t="s">
        <v>451</v>
      </c>
      <c r="C44" s="2" t="s">
        <v>452</v>
      </c>
      <c r="D44" s="2" t="s">
        <v>10</v>
      </c>
      <c r="E44" s="9">
        <v>400236.17200000002</v>
      </c>
      <c r="F44" s="9">
        <v>44931.085372694833</v>
      </c>
      <c r="G44" s="3">
        <v>11.22614309150819</v>
      </c>
      <c r="H44" s="3">
        <v>2.6475716261417041E-2</v>
      </c>
    </row>
    <row r="45" spans="1:8" ht="14.1" customHeight="1" x14ac:dyDescent="0.25">
      <c r="A45" s="2" t="s">
        <v>274</v>
      </c>
      <c r="B45" s="2" t="s">
        <v>453</v>
      </c>
      <c r="C45" s="2" t="s">
        <v>454</v>
      </c>
      <c r="D45" s="2" t="s">
        <v>39</v>
      </c>
      <c r="E45" s="9">
        <v>1032814.67</v>
      </c>
      <c r="F45" s="9">
        <v>3488.358760261181</v>
      </c>
      <c r="G45" s="3">
        <v>0.33775263477436679</v>
      </c>
      <c r="H45" s="3">
        <v>2.055521160653509E-3</v>
      </c>
    </row>
    <row r="46" spans="1:8" ht="14.1" customHeight="1" x14ac:dyDescent="0.25">
      <c r="A46" s="2" t="s">
        <v>319</v>
      </c>
      <c r="B46" s="2" t="s">
        <v>455</v>
      </c>
      <c r="C46" s="2" t="s">
        <v>456</v>
      </c>
      <c r="D46" s="2" t="s">
        <v>39</v>
      </c>
      <c r="E46" s="9">
        <v>2444384.6150000002</v>
      </c>
      <c r="F46" s="9">
        <v>182069.907004854</v>
      </c>
      <c r="G46" s="3">
        <v>7.448496684506174</v>
      </c>
      <c r="H46" s="3">
        <v>0.1072849933986357</v>
      </c>
    </row>
    <row r="47" spans="1:8" ht="14.1" customHeight="1" x14ac:dyDescent="0.25">
      <c r="A47" s="2" t="s">
        <v>284</v>
      </c>
      <c r="B47" s="2" t="s">
        <v>457</v>
      </c>
      <c r="C47" s="2" t="s">
        <v>458</v>
      </c>
      <c r="D47" s="2" t="s">
        <v>285</v>
      </c>
      <c r="E47" s="9">
        <v>463723.22700000001</v>
      </c>
      <c r="F47" s="9">
        <v>52393.456746661723</v>
      </c>
      <c r="G47" s="3">
        <v>11.29843270642592</v>
      </c>
      <c r="H47" s="3">
        <v>3.087293091794379E-2</v>
      </c>
    </row>
    <row r="48" spans="1:8" ht="14.1" customHeight="1" x14ac:dyDescent="0.25">
      <c r="A48" s="2" t="s">
        <v>314</v>
      </c>
      <c r="B48" s="2" t="s">
        <v>459</v>
      </c>
      <c r="C48" s="2" t="s">
        <v>460</v>
      </c>
      <c r="D48" s="2" t="s">
        <v>32</v>
      </c>
      <c r="E48" s="9">
        <v>806778.31099999999</v>
      </c>
      <c r="F48" s="9">
        <v>61501.838282472258</v>
      </c>
      <c r="G48" s="3">
        <v>7.6231397701111803</v>
      </c>
      <c r="H48" s="3">
        <v>3.6240059780791173E-2</v>
      </c>
    </row>
    <row r="49" spans="1:8" ht="14.1" customHeight="1" x14ac:dyDescent="0.25">
      <c r="A49" s="2" t="s">
        <v>213</v>
      </c>
      <c r="B49" s="2" t="s">
        <v>461</v>
      </c>
      <c r="C49" s="2" t="s">
        <v>462</v>
      </c>
      <c r="D49" s="2" t="s">
        <v>32</v>
      </c>
      <c r="E49" s="9">
        <v>3309589.9470000002</v>
      </c>
      <c r="F49" s="9">
        <v>93891.901530961579</v>
      </c>
      <c r="G49" s="3">
        <v>2.8369647912446232</v>
      </c>
      <c r="H49" s="3">
        <v>5.5325958043500371E-2</v>
      </c>
    </row>
    <row r="50" spans="1:8" ht="14.1" customHeight="1" x14ac:dyDescent="0.25">
      <c r="A50" s="2" t="s">
        <v>222</v>
      </c>
      <c r="B50" s="2" t="s">
        <v>463</v>
      </c>
      <c r="C50" s="2" t="s">
        <v>464</v>
      </c>
      <c r="D50" s="2" t="s">
        <v>39</v>
      </c>
      <c r="E50" s="9">
        <v>1032917.6459999999</v>
      </c>
      <c r="F50" s="9">
        <v>5336.0039751853592</v>
      </c>
      <c r="G50" s="3">
        <v>0.51659529642553514</v>
      </c>
      <c r="H50" s="3">
        <v>3.144249155010514E-3</v>
      </c>
    </row>
    <row r="51" spans="1:8" ht="14.1" customHeight="1" x14ac:dyDescent="0.25">
      <c r="A51" s="2" t="s">
        <v>171</v>
      </c>
      <c r="B51" s="2" t="s">
        <v>465</v>
      </c>
      <c r="C51" s="2" t="s">
        <v>466</v>
      </c>
      <c r="D51" s="2" t="s">
        <v>32</v>
      </c>
      <c r="E51" s="9">
        <v>281306.04300000001</v>
      </c>
      <c r="F51" s="9">
        <v>118621.8289118636</v>
      </c>
      <c r="G51" s="3">
        <v>42.168247666070798</v>
      </c>
      <c r="H51" s="3">
        <v>6.9898108595200723E-2</v>
      </c>
    </row>
    <row r="52" spans="1:8" ht="14.1" customHeight="1" x14ac:dyDescent="0.25">
      <c r="A52" s="2" t="s">
        <v>192</v>
      </c>
      <c r="B52" s="2" t="s">
        <v>467</v>
      </c>
      <c r="C52" s="2" t="s">
        <v>468</v>
      </c>
      <c r="D52" s="2" t="s">
        <v>172</v>
      </c>
      <c r="E52" s="9">
        <v>1077479.5970000001</v>
      </c>
      <c r="F52" s="9">
        <v>325715.99074400938</v>
      </c>
      <c r="G52" s="3">
        <v>30.229434659448991</v>
      </c>
      <c r="H52" s="3">
        <v>0.19192868547941591</v>
      </c>
    </row>
    <row r="53" spans="1:8" ht="14.1" customHeight="1" x14ac:dyDescent="0.25">
      <c r="A53" s="2" t="s">
        <v>192</v>
      </c>
      <c r="B53" s="2" t="s">
        <v>469</v>
      </c>
      <c r="C53" s="2" t="s">
        <v>470</v>
      </c>
      <c r="D53" s="2" t="s">
        <v>172</v>
      </c>
      <c r="E53" s="9">
        <v>1326712.148</v>
      </c>
      <c r="F53" s="9">
        <v>0</v>
      </c>
      <c r="G53" s="3">
        <v>0</v>
      </c>
      <c r="H53" s="3">
        <v>0</v>
      </c>
    </row>
    <row r="54" spans="1:8" ht="14.1" customHeight="1" x14ac:dyDescent="0.25">
      <c r="A54" s="2" t="s">
        <v>287</v>
      </c>
      <c r="B54" s="2" t="s">
        <v>471</v>
      </c>
      <c r="C54" s="2" t="s">
        <v>472</v>
      </c>
      <c r="D54" s="2" t="s">
        <v>10</v>
      </c>
      <c r="E54" s="9">
        <v>151867.11799999999</v>
      </c>
      <c r="F54" s="9">
        <v>3323.9992406767192</v>
      </c>
      <c r="G54" s="3">
        <v>2.1887550672270728</v>
      </c>
      <c r="H54" s="3">
        <v>1.9586720422917802E-3</v>
      </c>
    </row>
    <row r="55" spans="1:8" ht="14.1" customHeight="1" x14ac:dyDescent="0.25">
      <c r="A55" s="2" t="s">
        <v>312</v>
      </c>
      <c r="B55" s="2" t="s">
        <v>473</v>
      </c>
      <c r="C55" s="2" t="s">
        <v>474</v>
      </c>
      <c r="D55" s="2" t="s">
        <v>10</v>
      </c>
      <c r="E55" s="9">
        <v>431184.92599999998</v>
      </c>
      <c r="F55" s="9">
        <v>97869.090344842101</v>
      </c>
      <c r="G55" s="3">
        <v>22.697706817524999</v>
      </c>
      <c r="H55" s="3">
        <v>5.7669523120572247E-2</v>
      </c>
    </row>
    <row r="56" spans="1:8" ht="14.1" customHeight="1" x14ac:dyDescent="0.25">
      <c r="A56" s="2" t="s">
        <v>314</v>
      </c>
      <c r="B56" s="2" t="s">
        <v>475</v>
      </c>
      <c r="C56" s="2" t="s">
        <v>476</v>
      </c>
      <c r="D56" s="2" t="s">
        <v>32</v>
      </c>
      <c r="E56" s="9">
        <v>700180.96900000004</v>
      </c>
      <c r="F56" s="9">
        <v>52401.51123853591</v>
      </c>
      <c r="G56" s="3">
        <v>7.4839953609958672</v>
      </c>
      <c r="H56" s="3">
        <v>3.0877677040582991E-2</v>
      </c>
    </row>
    <row r="57" spans="1:8" ht="14.1" customHeight="1" x14ac:dyDescent="0.25">
      <c r="A57" s="2" t="s">
        <v>314</v>
      </c>
      <c r="B57" s="2" t="s">
        <v>477</v>
      </c>
      <c r="C57" s="2" t="s">
        <v>478</v>
      </c>
      <c r="D57" s="2" t="s">
        <v>32</v>
      </c>
      <c r="E57" s="9">
        <v>962583.09600000002</v>
      </c>
      <c r="F57" s="9">
        <v>161148.69596050039</v>
      </c>
      <c r="G57" s="3">
        <v>16.741276325145481</v>
      </c>
      <c r="H57" s="3">
        <v>9.4957135238499982E-2</v>
      </c>
    </row>
    <row r="58" spans="1:8" ht="14.1" customHeight="1" x14ac:dyDescent="0.25">
      <c r="A58" s="2" t="s">
        <v>327</v>
      </c>
      <c r="B58" s="2" t="s">
        <v>479</v>
      </c>
      <c r="C58" s="2" t="s">
        <v>480</v>
      </c>
      <c r="D58" s="2" t="s">
        <v>10</v>
      </c>
      <c r="E58" s="9">
        <v>257572.40299999999</v>
      </c>
      <c r="F58" s="9">
        <v>139432.34485053111</v>
      </c>
      <c r="G58" s="3">
        <v>54.133262425063087</v>
      </c>
      <c r="H58" s="3">
        <v>8.21607394814933E-2</v>
      </c>
    </row>
    <row r="59" spans="1:8" ht="14.1" customHeight="1" x14ac:dyDescent="0.25">
      <c r="A59" s="2" t="s">
        <v>314</v>
      </c>
      <c r="B59" s="2" t="s">
        <v>481</v>
      </c>
      <c r="C59" s="2" t="s">
        <v>482</v>
      </c>
      <c r="D59" s="2" t="s">
        <v>315</v>
      </c>
      <c r="E59" s="9">
        <v>630616.28300000005</v>
      </c>
      <c r="F59" s="9">
        <v>118683.7628677273</v>
      </c>
      <c r="G59" s="3">
        <v>18.820282010974861</v>
      </c>
      <c r="H59" s="3">
        <v>6.9934603280979904E-2</v>
      </c>
    </row>
    <row r="60" spans="1:8" ht="14.1" customHeight="1" x14ac:dyDescent="0.25">
      <c r="A60" s="2" t="s">
        <v>187</v>
      </c>
      <c r="B60" s="2" t="s">
        <v>483</v>
      </c>
      <c r="C60" s="2" t="s">
        <v>484</v>
      </c>
      <c r="D60" s="2" t="s">
        <v>32</v>
      </c>
      <c r="E60" s="9">
        <v>127696.86199999999</v>
      </c>
      <c r="F60" s="9">
        <v>7614.2568931290452</v>
      </c>
      <c r="G60" s="3">
        <v>5.9627595963392146</v>
      </c>
      <c r="H60" s="3">
        <v>4.4867134495382996E-3</v>
      </c>
    </row>
    <row r="61" spans="1:8" ht="14.1" customHeight="1" x14ac:dyDescent="0.25">
      <c r="A61" s="2" t="s">
        <v>171</v>
      </c>
      <c r="B61" s="2" t="s">
        <v>485</v>
      </c>
      <c r="C61" s="2" t="s">
        <v>486</v>
      </c>
      <c r="D61" s="2" t="s">
        <v>32</v>
      </c>
      <c r="E61" s="9">
        <v>301303.04599999997</v>
      </c>
      <c r="F61" s="9">
        <v>591.88687872379319</v>
      </c>
      <c r="G61" s="3">
        <v>0.19644238137698519</v>
      </c>
      <c r="H61" s="3">
        <v>3.4877032081379771E-4</v>
      </c>
    </row>
    <row r="62" spans="1:8" ht="14.1" customHeight="1" x14ac:dyDescent="0.25">
      <c r="A62" s="2" t="s">
        <v>293</v>
      </c>
      <c r="B62" s="2" t="s">
        <v>487</v>
      </c>
      <c r="C62" s="2" t="s">
        <v>488</v>
      </c>
      <c r="D62" s="2" t="s">
        <v>21</v>
      </c>
      <c r="E62" s="9">
        <v>828711.50600000005</v>
      </c>
      <c r="F62" s="9">
        <v>2492.8794127283909</v>
      </c>
      <c r="G62" s="3">
        <v>0.30081390142161141</v>
      </c>
      <c r="H62" s="3">
        <v>1.468933311044258E-3</v>
      </c>
    </row>
    <row r="63" spans="1:8" ht="14.1" customHeight="1" x14ac:dyDescent="0.25">
      <c r="A63" s="2" t="s">
        <v>195</v>
      </c>
      <c r="B63" s="2" t="s">
        <v>489</v>
      </c>
      <c r="C63" s="2" t="s">
        <v>490</v>
      </c>
      <c r="D63" s="2" t="s">
        <v>10</v>
      </c>
      <c r="E63" s="9">
        <v>2001424.831</v>
      </c>
      <c r="F63" s="9">
        <v>43567.23220481207</v>
      </c>
      <c r="G63" s="3">
        <v>2.1768108164743798</v>
      </c>
      <c r="H63" s="3">
        <v>2.567206352978188E-2</v>
      </c>
    </row>
    <row r="64" spans="1:8" ht="14.1" customHeight="1" x14ac:dyDescent="0.25">
      <c r="A64" s="2" t="s">
        <v>181</v>
      </c>
      <c r="B64" s="2" t="s">
        <v>491</v>
      </c>
      <c r="C64" s="2" t="s">
        <v>492</v>
      </c>
      <c r="D64" s="2" t="s">
        <v>7</v>
      </c>
      <c r="E64" s="9">
        <v>2380497.8730000001</v>
      </c>
      <c r="F64" s="9">
        <v>435700.02410800452</v>
      </c>
      <c r="G64" s="3">
        <v>18.30289491327785</v>
      </c>
      <c r="H64" s="3">
        <v>0.25673695878235647</v>
      </c>
    </row>
    <row r="65" spans="1:8" ht="14.1" customHeight="1" x14ac:dyDescent="0.25">
      <c r="A65" s="2" t="s">
        <v>169</v>
      </c>
      <c r="B65" s="2" t="s">
        <v>493</v>
      </c>
      <c r="C65" s="2" t="s">
        <v>494</v>
      </c>
      <c r="D65" s="2" t="s">
        <v>32</v>
      </c>
      <c r="E65" s="9">
        <v>747993.31599999999</v>
      </c>
      <c r="F65" s="9">
        <v>1648.9949399133629</v>
      </c>
      <c r="G65" s="3">
        <v>0.22045583892802639</v>
      </c>
      <c r="H65" s="3">
        <v>9.7167299172769023E-4</v>
      </c>
    </row>
    <row r="66" spans="1:8" ht="14.1" customHeight="1" x14ac:dyDescent="0.25">
      <c r="A66" s="2" t="s">
        <v>179</v>
      </c>
      <c r="B66" s="2" t="s">
        <v>495</v>
      </c>
      <c r="C66" s="2" t="s">
        <v>496</v>
      </c>
      <c r="D66" s="2" t="s">
        <v>32</v>
      </c>
      <c r="E66" s="9">
        <v>94367.323999999993</v>
      </c>
      <c r="F66" s="9">
        <v>577.7344658683719</v>
      </c>
      <c r="G66" s="3">
        <v>0.61221876533064767</v>
      </c>
      <c r="H66" s="3">
        <v>3.4043098816544212E-4</v>
      </c>
    </row>
    <row r="67" spans="1:8" ht="14.1" customHeight="1" x14ac:dyDescent="0.25">
      <c r="A67" s="2" t="s">
        <v>211</v>
      </c>
      <c r="B67" s="2" t="s">
        <v>497</v>
      </c>
      <c r="C67" s="2" t="s">
        <v>498</v>
      </c>
      <c r="D67" s="2" t="s">
        <v>32</v>
      </c>
      <c r="E67" s="9">
        <v>1007025.721</v>
      </c>
      <c r="F67" s="9">
        <v>13692.51625717676</v>
      </c>
      <c r="G67" s="3">
        <v>1.359698761574806</v>
      </c>
      <c r="H67" s="3">
        <v>8.0683378183016071E-3</v>
      </c>
    </row>
    <row r="68" spans="1:8" ht="14.1" customHeight="1" x14ac:dyDescent="0.25">
      <c r="A68" s="2" t="s">
        <v>312</v>
      </c>
      <c r="B68" s="2" t="s">
        <v>499</v>
      </c>
      <c r="C68" s="2" t="s">
        <v>500</v>
      </c>
      <c r="D68" s="2" t="s">
        <v>10</v>
      </c>
      <c r="E68" s="9">
        <v>80493.567999999999</v>
      </c>
      <c r="F68" s="9">
        <v>12939.10350239408</v>
      </c>
      <c r="G68" s="3">
        <v>16.074704878772529</v>
      </c>
      <c r="H68" s="3">
        <v>7.624388108253409E-3</v>
      </c>
    </row>
    <row r="69" spans="1:8" ht="14.1" customHeight="1" x14ac:dyDescent="0.25">
      <c r="A69" s="2" t="s">
        <v>279</v>
      </c>
      <c r="B69" s="2" t="s">
        <v>501</v>
      </c>
      <c r="C69" s="2" t="s">
        <v>502</v>
      </c>
      <c r="D69" s="2" t="s">
        <v>10</v>
      </c>
      <c r="E69" s="9">
        <v>101460.02099999999</v>
      </c>
      <c r="F69" s="9">
        <v>15608.047391211039</v>
      </c>
      <c r="G69" s="3">
        <v>15.38344585125903</v>
      </c>
      <c r="H69" s="3">
        <v>9.1970677026106638E-3</v>
      </c>
    </row>
    <row r="70" spans="1:8" ht="14.1" customHeight="1" x14ac:dyDescent="0.25">
      <c r="A70" s="2" t="s">
        <v>291</v>
      </c>
      <c r="B70" s="2" t="s">
        <v>503</v>
      </c>
      <c r="C70" s="2" t="s">
        <v>504</v>
      </c>
      <c r="D70" s="2" t="s">
        <v>239</v>
      </c>
      <c r="E70" s="9">
        <v>5788547.0609999998</v>
      </c>
      <c r="F70" s="9">
        <v>4865023.0857239598</v>
      </c>
      <c r="G70" s="3">
        <v>84.045668705049863</v>
      </c>
      <c r="H70" s="3">
        <v>2.8667228880508531</v>
      </c>
    </row>
    <row r="71" spans="1:8" ht="14.1" customHeight="1" x14ac:dyDescent="0.25">
      <c r="A71" s="2" t="s">
        <v>171</v>
      </c>
      <c r="B71" s="2" t="s">
        <v>505</v>
      </c>
      <c r="C71" s="2" t="s">
        <v>506</v>
      </c>
      <c r="D71" s="2" t="s">
        <v>32</v>
      </c>
      <c r="E71" s="9">
        <v>2263686.3960000002</v>
      </c>
      <c r="F71" s="9">
        <v>341259.40247135417</v>
      </c>
      <c r="G71" s="3">
        <v>15.07538336910844</v>
      </c>
      <c r="H71" s="3">
        <v>0.20108766651034499</v>
      </c>
    </row>
    <row r="72" spans="1:8" ht="14.1" customHeight="1" x14ac:dyDescent="0.25">
      <c r="A72" s="2" t="s">
        <v>227</v>
      </c>
      <c r="B72" s="2" t="s">
        <v>507</v>
      </c>
      <c r="C72" s="2" t="s">
        <v>508</v>
      </c>
      <c r="D72" s="2" t="s">
        <v>7</v>
      </c>
      <c r="E72" s="9">
        <v>4718656.2939999998</v>
      </c>
      <c r="F72" s="9">
        <v>1315306.5429605241</v>
      </c>
      <c r="G72" s="3">
        <v>27.874599483607231</v>
      </c>
      <c r="H72" s="3">
        <v>0.77504655272296075</v>
      </c>
    </row>
    <row r="73" spans="1:8" ht="14.1" customHeight="1" x14ac:dyDescent="0.25">
      <c r="A73" s="2" t="s">
        <v>277</v>
      </c>
      <c r="B73" s="2" t="s">
        <v>509</v>
      </c>
      <c r="C73" s="2" t="s">
        <v>510</v>
      </c>
      <c r="D73" s="2" t="s">
        <v>10</v>
      </c>
      <c r="E73" s="9">
        <v>20100.137999999999</v>
      </c>
      <c r="F73" s="9">
        <v>15024.104856026241</v>
      </c>
      <c r="G73" s="3">
        <v>74.746277145093416</v>
      </c>
      <c r="H73" s="3">
        <v>8.852978599347628E-3</v>
      </c>
    </row>
    <row r="74" spans="1:8" ht="14.1" customHeight="1" x14ac:dyDescent="0.25">
      <c r="A74" s="2" t="s">
        <v>205</v>
      </c>
      <c r="B74" s="2" t="s">
        <v>511</v>
      </c>
      <c r="C74" s="2" t="s">
        <v>512</v>
      </c>
      <c r="D74" s="2" t="s">
        <v>10</v>
      </c>
      <c r="E74" s="9">
        <v>4500355.2769999998</v>
      </c>
      <c r="F74" s="9">
        <v>35957.361004911851</v>
      </c>
      <c r="G74" s="3">
        <v>0.79898938620867144</v>
      </c>
      <c r="H74" s="3">
        <v>2.118793435722182E-2</v>
      </c>
    </row>
    <row r="75" spans="1:8" ht="14.1" customHeight="1" x14ac:dyDescent="0.25">
      <c r="A75" s="2" t="s">
        <v>277</v>
      </c>
      <c r="B75" s="2" t="s">
        <v>513</v>
      </c>
      <c r="C75" s="2" t="s">
        <v>514</v>
      </c>
      <c r="D75" s="2" t="s">
        <v>10</v>
      </c>
      <c r="E75" s="9">
        <v>121337.591</v>
      </c>
      <c r="F75" s="9">
        <v>6864.6606444102563</v>
      </c>
      <c r="G75" s="3">
        <v>5.6574888192812862</v>
      </c>
      <c r="H75" s="3">
        <v>4.0450126219913661E-3</v>
      </c>
    </row>
    <row r="76" spans="1:8" ht="14.1" customHeight="1" x14ac:dyDescent="0.25">
      <c r="A76" s="2" t="s">
        <v>238</v>
      </c>
      <c r="B76" s="2" t="s">
        <v>515</v>
      </c>
      <c r="C76" s="2" t="s">
        <v>516</v>
      </c>
      <c r="D76" s="2" t="s">
        <v>7</v>
      </c>
      <c r="E76" s="9">
        <v>12590867.403999999</v>
      </c>
      <c r="F76" s="9">
        <v>3793687.537490617</v>
      </c>
      <c r="G76" s="3">
        <v>30.130470092039879</v>
      </c>
      <c r="H76" s="3">
        <v>2.2354366468991311</v>
      </c>
    </row>
    <row r="77" spans="1:8" ht="14.1" customHeight="1" x14ac:dyDescent="0.25">
      <c r="A77" s="2" t="s">
        <v>192</v>
      </c>
      <c r="B77" s="2" t="s">
        <v>517</v>
      </c>
      <c r="C77" s="2" t="s">
        <v>518</v>
      </c>
      <c r="D77" s="2" t="s">
        <v>10</v>
      </c>
      <c r="E77" s="9">
        <v>580685.32900000003</v>
      </c>
      <c r="F77" s="9">
        <v>9900.0357018971463</v>
      </c>
      <c r="G77" s="3">
        <v>1.704888208377165</v>
      </c>
      <c r="H77" s="3">
        <v>5.8336123876636939E-3</v>
      </c>
    </row>
    <row r="78" spans="1:8" ht="14.1" customHeight="1" x14ac:dyDescent="0.25">
      <c r="A78" s="2" t="s">
        <v>265</v>
      </c>
      <c r="B78" s="2" t="s">
        <v>519</v>
      </c>
      <c r="C78" s="2" t="s">
        <v>520</v>
      </c>
      <c r="D78" s="2" t="s">
        <v>32</v>
      </c>
      <c r="E78" s="9">
        <v>9378817.1750000007</v>
      </c>
      <c r="F78" s="9">
        <v>24860.959689049501</v>
      </c>
      <c r="G78" s="3">
        <v>0.26507564040504389</v>
      </c>
      <c r="H78" s="3">
        <v>1.4649361555681551E-2</v>
      </c>
    </row>
    <row r="79" spans="1:8" ht="14.1" customHeight="1" x14ac:dyDescent="0.25">
      <c r="A79" s="2" t="s">
        <v>222</v>
      </c>
      <c r="B79" s="2" t="s">
        <v>521</v>
      </c>
      <c r="C79" s="2" t="s">
        <v>522</v>
      </c>
      <c r="D79" s="2" t="s">
        <v>39</v>
      </c>
      <c r="E79" s="9">
        <v>961667.29599999997</v>
      </c>
      <c r="F79" s="9">
        <v>113410.5849510375</v>
      </c>
      <c r="G79" s="3">
        <v>11.793120700138431</v>
      </c>
      <c r="H79" s="3">
        <v>6.6827374484697763E-2</v>
      </c>
    </row>
    <row r="80" spans="1:8" ht="14.1" customHeight="1" x14ac:dyDescent="0.25">
      <c r="A80" s="2" t="s">
        <v>332</v>
      </c>
      <c r="B80" s="2" t="s">
        <v>523</v>
      </c>
      <c r="C80" s="2" t="s">
        <v>524</v>
      </c>
      <c r="D80" s="2" t="s">
        <v>65</v>
      </c>
      <c r="E80" s="9">
        <v>767849.44</v>
      </c>
      <c r="F80" s="9">
        <v>454499.74813362199</v>
      </c>
      <c r="G80" s="3">
        <v>59.191258657898103</v>
      </c>
      <c r="H80" s="3">
        <v>0.26781472721297789</v>
      </c>
    </row>
    <row r="81" spans="1:8" ht="14.1" customHeight="1" x14ac:dyDescent="0.25">
      <c r="A81" s="2" t="s">
        <v>349</v>
      </c>
      <c r="B81" s="2" t="s">
        <v>525</v>
      </c>
      <c r="C81" s="2" t="s">
        <v>526</v>
      </c>
      <c r="D81" s="2" t="s">
        <v>41</v>
      </c>
      <c r="E81" s="9">
        <v>1217921.973</v>
      </c>
      <c r="F81" s="9">
        <v>81435.018817302742</v>
      </c>
      <c r="G81" s="3">
        <v>6.6863904767816136</v>
      </c>
      <c r="H81" s="3">
        <v>4.798571933141689E-2</v>
      </c>
    </row>
    <row r="82" spans="1:8" ht="14.1" customHeight="1" x14ac:dyDescent="0.25">
      <c r="A82" s="2" t="s">
        <v>277</v>
      </c>
      <c r="B82" s="2" t="s">
        <v>527</v>
      </c>
      <c r="C82" s="2" t="s">
        <v>528</v>
      </c>
      <c r="D82" s="2" t="s">
        <v>10</v>
      </c>
      <c r="E82" s="9">
        <v>188278.64499999999</v>
      </c>
      <c r="F82" s="9">
        <v>51388.736684990057</v>
      </c>
      <c r="G82" s="3">
        <v>27.293980517540941</v>
      </c>
      <c r="H82" s="3">
        <v>3.0280897962266792E-2</v>
      </c>
    </row>
    <row r="83" spans="1:8" ht="14.1" customHeight="1" x14ac:dyDescent="0.25">
      <c r="A83" s="2" t="s">
        <v>298</v>
      </c>
      <c r="B83" s="2" t="s">
        <v>529</v>
      </c>
      <c r="C83" s="2" t="s">
        <v>530</v>
      </c>
      <c r="D83" s="2" t="s">
        <v>7</v>
      </c>
      <c r="E83" s="9">
        <v>8374727.8669999996</v>
      </c>
      <c r="F83" s="9">
        <v>568729.45858411444</v>
      </c>
      <c r="G83" s="3">
        <v>6.7910201694451624</v>
      </c>
      <c r="H83" s="3">
        <v>0.33512477275104929</v>
      </c>
    </row>
    <row r="84" spans="1:8" ht="14.1" customHeight="1" x14ac:dyDescent="0.25">
      <c r="A84" s="2" t="s">
        <v>250</v>
      </c>
      <c r="B84" s="2" t="s">
        <v>531</v>
      </c>
      <c r="C84" s="2" t="s">
        <v>532</v>
      </c>
      <c r="D84" s="2" t="s">
        <v>12</v>
      </c>
      <c r="E84" s="9">
        <v>13663.539000000001</v>
      </c>
      <c r="F84" s="9">
        <v>8541.397814114227</v>
      </c>
      <c r="G84" s="3">
        <v>62.512338963677173</v>
      </c>
      <c r="H84" s="3">
        <v>5.0330327684406182E-3</v>
      </c>
    </row>
    <row r="85" spans="1:8" ht="14.1" customHeight="1" x14ac:dyDescent="0.25">
      <c r="A85" s="2" t="s">
        <v>246</v>
      </c>
      <c r="B85" s="2" t="s">
        <v>533</v>
      </c>
      <c r="C85" s="2" t="s">
        <v>534</v>
      </c>
      <c r="D85" s="2" t="s">
        <v>32</v>
      </c>
      <c r="E85" s="9">
        <v>3738012.8229999999</v>
      </c>
      <c r="F85" s="9">
        <v>283.39025353576778</v>
      </c>
      <c r="G85" s="3">
        <v>7.5813076881937674E-3</v>
      </c>
      <c r="H85" s="3">
        <v>1.669881749267439E-4</v>
      </c>
    </row>
    <row r="86" spans="1:8" ht="14.1" customHeight="1" x14ac:dyDescent="0.25">
      <c r="A86" s="2" t="s">
        <v>314</v>
      </c>
      <c r="B86" s="2" t="s">
        <v>535</v>
      </c>
      <c r="C86" s="2" t="s">
        <v>536</v>
      </c>
      <c r="D86" s="2" t="s">
        <v>10</v>
      </c>
      <c r="E86" s="9">
        <v>520901.46100000001</v>
      </c>
      <c r="F86" s="9">
        <v>63256.053823375027</v>
      </c>
      <c r="G86" s="3">
        <v>12.14357389244778</v>
      </c>
      <c r="H86" s="3">
        <v>3.7273734185428058E-2</v>
      </c>
    </row>
    <row r="87" spans="1:8" ht="14.1" customHeight="1" x14ac:dyDescent="0.25">
      <c r="A87" s="2" t="s">
        <v>314</v>
      </c>
      <c r="B87" s="2" t="s">
        <v>537</v>
      </c>
      <c r="C87" s="2" t="s">
        <v>538</v>
      </c>
      <c r="D87" s="2" t="s">
        <v>10</v>
      </c>
      <c r="E87" s="9">
        <v>327828.73200000002</v>
      </c>
      <c r="F87" s="9">
        <v>54765.307552772952</v>
      </c>
      <c r="G87" s="3">
        <v>16.705463007669788</v>
      </c>
      <c r="H87" s="3">
        <v>3.2270547922655109E-2</v>
      </c>
    </row>
    <row r="88" spans="1:8" ht="14.1" customHeight="1" x14ac:dyDescent="0.25">
      <c r="A88" s="2" t="s">
        <v>187</v>
      </c>
      <c r="B88" s="2" t="s">
        <v>539</v>
      </c>
      <c r="C88" s="2" t="s">
        <v>540</v>
      </c>
      <c r="D88" s="2" t="s">
        <v>32</v>
      </c>
      <c r="E88" s="9">
        <v>631985.304</v>
      </c>
      <c r="F88" s="9">
        <v>103268.7544369676</v>
      </c>
      <c r="G88" s="3">
        <v>16.34037275603605</v>
      </c>
      <c r="H88" s="3">
        <v>6.0851284104627049E-2</v>
      </c>
    </row>
    <row r="89" spans="1:8" ht="14.1" customHeight="1" x14ac:dyDescent="0.25">
      <c r="A89" s="2" t="s">
        <v>171</v>
      </c>
      <c r="B89" s="2" t="s">
        <v>541</v>
      </c>
      <c r="C89" s="2" t="s">
        <v>542</v>
      </c>
      <c r="D89" s="2" t="s">
        <v>32</v>
      </c>
      <c r="E89" s="9">
        <v>1026213.878</v>
      </c>
      <c r="F89" s="9">
        <v>130862.86072219419</v>
      </c>
      <c r="G89" s="3">
        <v>12.752006528817789</v>
      </c>
      <c r="H89" s="3">
        <v>7.71111568060113E-2</v>
      </c>
    </row>
    <row r="90" spans="1:8" ht="14.1" customHeight="1" x14ac:dyDescent="0.25">
      <c r="A90" s="2" t="s">
        <v>179</v>
      </c>
      <c r="B90" s="2" t="s">
        <v>543</v>
      </c>
      <c r="C90" s="2" t="s">
        <v>544</v>
      </c>
      <c r="D90" s="2" t="s">
        <v>32</v>
      </c>
      <c r="E90" s="9">
        <v>284779.538</v>
      </c>
      <c r="F90" s="9">
        <v>77008.673013960433</v>
      </c>
      <c r="G90" s="3">
        <v>27.04150500235745</v>
      </c>
      <c r="H90" s="3">
        <v>4.5377487756503208E-2</v>
      </c>
    </row>
    <row r="91" spans="1:8" ht="14.1" customHeight="1" x14ac:dyDescent="0.25">
      <c r="A91" s="2" t="s">
        <v>344</v>
      </c>
      <c r="B91" s="2" t="s">
        <v>545</v>
      </c>
      <c r="C91" s="2" t="s">
        <v>546</v>
      </c>
      <c r="D91" s="2" t="s">
        <v>21</v>
      </c>
      <c r="E91" s="9">
        <v>261652.46799999999</v>
      </c>
      <c r="F91" s="9">
        <v>204361.16993828319</v>
      </c>
      <c r="G91" s="3">
        <v>78.104048282198193</v>
      </c>
      <c r="H91" s="3">
        <v>0.1204201568971069</v>
      </c>
    </row>
    <row r="92" spans="1:8" ht="14.1" customHeight="1" x14ac:dyDescent="0.25">
      <c r="A92" s="2" t="s">
        <v>250</v>
      </c>
      <c r="B92" s="2" t="s">
        <v>547</v>
      </c>
      <c r="C92" s="2" t="s">
        <v>548</v>
      </c>
      <c r="D92" s="2" t="s">
        <v>12</v>
      </c>
      <c r="E92" s="9">
        <v>1462.8389999999999</v>
      </c>
      <c r="F92" s="9">
        <v>121.335160298657</v>
      </c>
      <c r="G92" s="3">
        <v>8.2944985947638123</v>
      </c>
      <c r="H92" s="3">
        <v>7.1496943596048365E-5</v>
      </c>
    </row>
    <row r="93" spans="1:8" ht="14.1" customHeight="1" x14ac:dyDescent="0.25">
      <c r="A93" s="2" t="s">
        <v>179</v>
      </c>
      <c r="B93" s="2" t="s">
        <v>549</v>
      </c>
      <c r="C93" s="2" t="s">
        <v>550</v>
      </c>
      <c r="D93" s="2" t="s">
        <v>32</v>
      </c>
      <c r="E93" s="9">
        <v>2312125.5550000002</v>
      </c>
      <c r="F93" s="9">
        <v>981292.33419142966</v>
      </c>
      <c r="G93" s="3">
        <v>42.441135260555932</v>
      </c>
      <c r="H93" s="3">
        <v>0.57822812856741135</v>
      </c>
    </row>
    <row r="94" spans="1:8" ht="14.1" customHeight="1" x14ac:dyDescent="0.25">
      <c r="A94" s="2" t="s">
        <v>277</v>
      </c>
      <c r="B94" s="2" t="s">
        <v>551</v>
      </c>
      <c r="C94" s="2" t="s">
        <v>552</v>
      </c>
      <c r="D94" s="2" t="s">
        <v>10</v>
      </c>
      <c r="E94" s="9">
        <v>308114.66800000001</v>
      </c>
      <c r="F94" s="9">
        <v>124171.37596735961</v>
      </c>
      <c r="G94" s="3">
        <v>40.30037802918217</v>
      </c>
      <c r="H94" s="3">
        <v>7.3168188362959546E-2</v>
      </c>
    </row>
    <row r="95" spans="1:8" ht="14.1" customHeight="1" x14ac:dyDescent="0.25">
      <c r="A95" s="2" t="s">
        <v>277</v>
      </c>
      <c r="B95" s="2" t="s">
        <v>553</v>
      </c>
      <c r="C95" s="2" t="s">
        <v>554</v>
      </c>
      <c r="D95" s="2" t="s">
        <v>10</v>
      </c>
      <c r="E95" s="9">
        <v>123314.932</v>
      </c>
      <c r="F95" s="9">
        <v>57921.817005903373</v>
      </c>
      <c r="G95" s="3">
        <v>46.9706434301917</v>
      </c>
      <c r="H95" s="3">
        <v>3.413052633101888E-2</v>
      </c>
    </row>
    <row r="96" spans="1:8" ht="14.1" customHeight="1" x14ac:dyDescent="0.25">
      <c r="A96" s="2" t="s">
        <v>229</v>
      </c>
      <c r="B96" s="2" t="s">
        <v>555</v>
      </c>
      <c r="C96" s="2" t="s">
        <v>556</v>
      </c>
      <c r="D96" s="2" t="s">
        <v>39</v>
      </c>
      <c r="E96" s="9">
        <v>1448061.9750000001</v>
      </c>
      <c r="F96" s="9">
        <v>12265.769166924751</v>
      </c>
      <c r="G96" s="3">
        <v>0.84704725202971709</v>
      </c>
      <c r="H96" s="3">
        <v>7.2276247390384409E-3</v>
      </c>
    </row>
    <row r="97" spans="1:8" ht="14.1" customHeight="1" x14ac:dyDescent="0.25">
      <c r="A97" s="2" t="s">
        <v>192</v>
      </c>
      <c r="B97" s="2" t="s">
        <v>557</v>
      </c>
      <c r="C97" s="2" t="s">
        <v>558</v>
      </c>
      <c r="D97" s="2" t="s">
        <v>39</v>
      </c>
      <c r="E97" s="9">
        <v>1736593.868</v>
      </c>
      <c r="F97" s="9">
        <v>807830.7352581037</v>
      </c>
      <c r="G97" s="3">
        <v>46.518115153110948</v>
      </c>
      <c r="H97" s="3">
        <v>0.47601559491690237</v>
      </c>
    </row>
    <row r="98" spans="1:8" ht="14.1" customHeight="1" x14ac:dyDescent="0.25">
      <c r="A98" s="2" t="s">
        <v>192</v>
      </c>
      <c r="B98" s="2" t="s">
        <v>559</v>
      </c>
      <c r="C98" s="2" t="s">
        <v>560</v>
      </c>
      <c r="D98" s="2" t="s">
        <v>32</v>
      </c>
      <c r="E98" s="9">
        <v>4136121.3110000002</v>
      </c>
      <c r="F98" s="9">
        <v>221935.18229931389</v>
      </c>
      <c r="G98" s="3">
        <v>5.3657802953960276</v>
      </c>
      <c r="H98" s="3">
        <v>0.13077567270505669</v>
      </c>
    </row>
    <row r="99" spans="1:8" ht="14.1" customHeight="1" x14ac:dyDescent="0.25">
      <c r="A99" s="2" t="s">
        <v>199</v>
      </c>
      <c r="B99" s="2" t="s">
        <v>198</v>
      </c>
      <c r="C99" s="2" t="s">
        <v>561</v>
      </c>
      <c r="D99" s="2" t="s">
        <v>12</v>
      </c>
      <c r="E99" s="9">
        <v>17167.102999999999</v>
      </c>
      <c r="F99" s="9">
        <v>0</v>
      </c>
      <c r="G99" s="3">
        <v>0</v>
      </c>
      <c r="H99" s="3">
        <v>0</v>
      </c>
    </row>
    <row r="100" spans="1:8" ht="14.1" customHeight="1" x14ac:dyDescent="0.25">
      <c r="A100" s="2" t="s">
        <v>192</v>
      </c>
      <c r="B100" s="2" t="s">
        <v>562</v>
      </c>
      <c r="C100" s="2" t="s">
        <v>563</v>
      </c>
      <c r="D100" s="2" t="s">
        <v>10</v>
      </c>
      <c r="E100" s="9">
        <v>139223.77600000001</v>
      </c>
      <c r="F100" s="9">
        <v>9784.3714895500634</v>
      </c>
      <c r="G100" s="3">
        <v>7.027802125945831</v>
      </c>
      <c r="H100" s="3">
        <v>5.7654570595139171E-3</v>
      </c>
    </row>
    <row r="101" spans="1:8" ht="14.1" customHeight="1" x14ac:dyDescent="0.25">
      <c r="A101" s="2" t="s">
        <v>312</v>
      </c>
      <c r="B101" s="2" t="s">
        <v>564</v>
      </c>
      <c r="C101" s="2" t="s">
        <v>565</v>
      </c>
      <c r="D101" s="2" t="s">
        <v>10</v>
      </c>
      <c r="E101" s="9">
        <v>466523.46299999999</v>
      </c>
      <c r="F101" s="9">
        <v>32915.726966982409</v>
      </c>
      <c r="G101" s="3">
        <v>7.0555351611506003</v>
      </c>
      <c r="H101" s="3">
        <v>1.9395646476986762E-2</v>
      </c>
    </row>
    <row r="102" spans="1:8" ht="14.1" customHeight="1" x14ac:dyDescent="0.25">
      <c r="A102" s="2" t="s">
        <v>205</v>
      </c>
      <c r="B102" s="2" t="s">
        <v>566</v>
      </c>
      <c r="C102" s="2" t="s">
        <v>567</v>
      </c>
      <c r="D102" s="2" t="s">
        <v>172</v>
      </c>
      <c r="E102" s="9">
        <v>1354799.091</v>
      </c>
      <c r="F102" s="9">
        <v>75263.343740727287</v>
      </c>
      <c r="G102" s="3">
        <v>5.5553140122919737</v>
      </c>
      <c r="H102" s="3">
        <v>4.4349049599766682E-2</v>
      </c>
    </row>
    <row r="103" spans="1:8" ht="14.1" customHeight="1" x14ac:dyDescent="0.25">
      <c r="A103" s="2" t="s">
        <v>327</v>
      </c>
      <c r="B103" s="2" t="s">
        <v>568</v>
      </c>
      <c r="C103" s="2" t="s">
        <v>569</v>
      </c>
      <c r="D103" s="2" t="s">
        <v>10</v>
      </c>
      <c r="E103" s="9">
        <v>275693.25199999998</v>
      </c>
      <c r="F103" s="9">
        <v>8921.5980526831772</v>
      </c>
      <c r="G103" s="3">
        <v>3.2360596380078168</v>
      </c>
      <c r="H103" s="3">
        <v>5.257066386933882E-3</v>
      </c>
    </row>
    <row r="104" spans="1:8" ht="14.1" customHeight="1" x14ac:dyDescent="0.25">
      <c r="A104" s="2" t="s">
        <v>174</v>
      </c>
      <c r="B104" s="2" t="s">
        <v>570</v>
      </c>
      <c r="C104" s="2" t="s">
        <v>571</v>
      </c>
      <c r="D104" s="2" t="s">
        <v>39</v>
      </c>
      <c r="E104" s="9">
        <v>706696.33700000006</v>
      </c>
      <c r="F104" s="9">
        <v>613.78476824560903</v>
      </c>
      <c r="G104" s="3">
        <v>8.6852688504257661E-2</v>
      </c>
      <c r="H104" s="3">
        <v>3.6167368837980321E-4</v>
      </c>
    </row>
    <row r="105" spans="1:8" ht="14.1" customHeight="1" x14ac:dyDescent="0.25">
      <c r="A105" s="2" t="s">
        <v>270</v>
      </c>
      <c r="B105" s="2" t="s">
        <v>572</v>
      </c>
      <c r="C105" s="2" t="s">
        <v>573</v>
      </c>
      <c r="D105" s="2" t="s">
        <v>172</v>
      </c>
      <c r="E105" s="9">
        <v>1703985.02</v>
      </c>
      <c r="F105" s="9">
        <v>251515.63626039139</v>
      </c>
      <c r="G105" s="3">
        <v>14.76043705245668</v>
      </c>
      <c r="H105" s="3">
        <v>0.14820600405497189</v>
      </c>
    </row>
    <row r="106" spans="1:8" ht="14.1" customHeight="1" x14ac:dyDescent="0.25">
      <c r="A106" s="2" t="s">
        <v>353</v>
      </c>
      <c r="B106" s="2" t="s">
        <v>574</v>
      </c>
      <c r="C106" s="2" t="s">
        <v>575</v>
      </c>
      <c r="D106" s="2" t="s">
        <v>32</v>
      </c>
      <c r="E106" s="9">
        <v>357932.359</v>
      </c>
      <c r="F106" s="9">
        <v>247250.59192567319</v>
      </c>
      <c r="G106" s="3">
        <v>69.077462740850777</v>
      </c>
      <c r="H106" s="3">
        <v>0.14569281963684111</v>
      </c>
    </row>
    <row r="107" spans="1:8" ht="14.1" customHeight="1" x14ac:dyDescent="0.25">
      <c r="A107" s="2" t="s">
        <v>277</v>
      </c>
      <c r="B107" s="2" t="s">
        <v>576</v>
      </c>
      <c r="C107" s="2" t="s">
        <v>577</v>
      </c>
      <c r="D107" s="2" t="s">
        <v>10</v>
      </c>
      <c r="E107" s="9">
        <v>316457.54800000001</v>
      </c>
      <c r="F107" s="9">
        <v>75779.223322205609</v>
      </c>
      <c r="G107" s="3">
        <v>23.946094444935031</v>
      </c>
      <c r="H107" s="3">
        <v>4.4653032495149368E-2</v>
      </c>
    </row>
    <row r="108" spans="1:8" ht="14.1" customHeight="1" x14ac:dyDescent="0.25">
      <c r="A108" s="2" t="s">
        <v>201</v>
      </c>
      <c r="B108" s="2" t="s">
        <v>200</v>
      </c>
      <c r="C108" s="2" t="s">
        <v>578</v>
      </c>
      <c r="D108" s="2" t="s">
        <v>21</v>
      </c>
      <c r="E108" s="9">
        <v>2092228.9550000001</v>
      </c>
      <c r="F108" s="9">
        <v>219031.84659186221</v>
      </c>
      <c r="G108" s="3">
        <v>10.4688278053136</v>
      </c>
      <c r="H108" s="3">
        <v>0.12906487734446109</v>
      </c>
    </row>
    <row r="109" spans="1:8" ht="14.1" customHeight="1" x14ac:dyDescent="0.25">
      <c r="A109" s="2" t="s">
        <v>325</v>
      </c>
      <c r="B109" s="2" t="s">
        <v>579</v>
      </c>
      <c r="C109" s="2" t="s">
        <v>580</v>
      </c>
      <c r="D109" s="2" t="s">
        <v>7</v>
      </c>
      <c r="E109" s="9">
        <v>383464.83</v>
      </c>
      <c r="F109" s="9">
        <v>29056.272541543622</v>
      </c>
      <c r="G109" s="3">
        <v>7.5772979080098741</v>
      </c>
      <c r="H109" s="3">
        <v>1.712145658274741E-2</v>
      </c>
    </row>
    <row r="110" spans="1:8" ht="14.1" customHeight="1" x14ac:dyDescent="0.25">
      <c r="A110" s="2" t="s">
        <v>274</v>
      </c>
      <c r="B110" s="2" t="s">
        <v>581</v>
      </c>
      <c r="C110" s="2" t="s">
        <v>582</v>
      </c>
      <c r="D110" s="2" t="s">
        <v>10</v>
      </c>
      <c r="E110" s="9">
        <v>3662438.0090000001</v>
      </c>
      <c r="F110" s="9">
        <v>285003.32518536912</v>
      </c>
      <c r="G110" s="3">
        <v>7.7817924695246123</v>
      </c>
      <c r="H110" s="3">
        <v>0.16793868006032639</v>
      </c>
    </row>
    <row r="111" spans="1:8" ht="14.1" customHeight="1" x14ac:dyDescent="0.25">
      <c r="A111" s="2" t="s">
        <v>207</v>
      </c>
      <c r="B111" s="2" t="s">
        <v>206</v>
      </c>
      <c r="C111" s="2" t="s">
        <v>583</v>
      </c>
      <c r="D111" s="2" t="s">
        <v>21</v>
      </c>
      <c r="E111" s="9">
        <v>2843199.4380000001</v>
      </c>
      <c r="F111" s="9">
        <v>878564.51850166568</v>
      </c>
      <c r="G111" s="3">
        <v>30.900558953390789</v>
      </c>
      <c r="H111" s="3">
        <v>0.51769559351295691</v>
      </c>
    </row>
    <row r="112" spans="1:8" ht="14.1" customHeight="1" x14ac:dyDescent="0.25">
      <c r="A112" s="2" t="s">
        <v>209</v>
      </c>
      <c r="B112" s="2" t="s">
        <v>584</v>
      </c>
      <c r="C112" s="2" t="s">
        <v>585</v>
      </c>
      <c r="D112" s="2" t="s">
        <v>21</v>
      </c>
      <c r="E112" s="9">
        <v>1589590.406</v>
      </c>
      <c r="F112" s="9">
        <v>129619.85512355409</v>
      </c>
      <c r="G112" s="3">
        <v>8.1542927432309931</v>
      </c>
      <c r="H112" s="3">
        <v>7.6378713704137124E-2</v>
      </c>
    </row>
    <row r="113" spans="1:8" ht="14.1" customHeight="1" x14ac:dyDescent="0.25">
      <c r="A113" s="2" t="s">
        <v>171</v>
      </c>
      <c r="B113" s="2" t="s">
        <v>586</v>
      </c>
      <c r="C113" s="2" t="s">
        <v>587</v>
      </c>
      <c r="D113" s="2" t="s">
        <v>32</v>
      </c>
      <c r="E113" s="9">
        <v>982807.04000000004</v>
      </c>
      <c r="F113" s="9">
        <v>16841.25307072527</v>
      </c>
      <c r="G113" s="3">
        <v>1.7135869387672751</v>
      </c>
      <c r="H113" s="3">
        <v>9.9237361859549015E-3</v>
      </c>
    </row>
    <row r="114" spans="1:8" ht="14.1" customHeight="1" x14ac:dyDescent="0.25">
      <c r="A114" s="2" t="s">
        <v>187</v>
      </c>
      <c r="B114" s="2" t="s">
        <v>588</v>
      </c>
      <c r="C114" s="2" t="s">
        <v>589</v>
      </c>
      <c r="D114" s="2" t="s">
        <v>32</v>
      </c>
      <c r="E114" s="9">
        <v>80963.77</v>
      </c>
      <c r="F114" s="9">
        <v>4581.6175259771953</v>
      </c>
      <c r="G114" s="3">
        <v>5.6588490456622704</v>
      </c>
      <c r="H114" s="3">
        <v>2.699725693914001E-3</v>
      </c>
    </row>
    <row r="115" spans="1:8" ht="14.1" customHeight="1" x14ac:dyDescent="0.25">
      <c r="A115" s="2" t="s">
        <v>287</v>
      </c>
      <c r="B115" s="2" t="s">
        <v>590</v>
      </c>
      <c r="C115" s="2" t="s">
        <v>591</v>
      </c>
      <c r="D115" s="2" t="s">
        <v>10</v>
      </c>
      <c r="E115" s="9">
        <v>97772.516000000003</v>
      </c>
      <c r="F115" s="9">
        <v>191.18795683468559</v>
      </c>
      <c r="G115" s="3">
        <v>0.19554366058728159</v>
      </c>
      <c r="H115" s="3">
        <v>1.1265781931970259E-4</v>
      </c>
    </row>
    <row r="116" spans="1:8" ht="14.1" customHeight="1" x14ac:dyDescent="0.25">
      <c r="A116" s="2" t="s">
        <v>192</v>
      </c>
      <c r="B116" s="2" t="s">
        <v>592</v>
      </c>
      <c r="C116" s="2" t="s">
        <v>593</v>
      </c>
      <c r="D116" s="2" t="s">
        <v>596</v>
      </c>
      <c r="E116" s="9">
        <v>1456544.1310000001</v>
      </c>
      <c r="F116" s="9">
        <v>0</v>
      </c>
      <c r="G116" s="3">
        <v>0</v>
      </c>
      <c r="H116" s="3">
        <v>0</v>
      </c>
    </row>
    <row r="117" spans="1:8" ht="14.1" customHeight="1" x14ac:dyDescent="0.25">
      <c r="A117" s="2" t="s">
        <v>305</v>
      </c>
      <c r="B117" s="2" t="s">
        <v>594</v>
      </c>
      <c r="C117" s="2" t="s">
        <v>595</v>
      </c>
      <c r="D117" s="2" t="s">
        <v>596</v>
      </c>
      <c r="E117" s="9">
        <v>5152029.2189999996</v>
      </c>
      <c r="F117" s="9">
        <v>4220043.6796311876</v>
      </c>
      <c r="G117" s="3">
        <v>81.910321161771122</v>
      </c>
      <c r="H117" s="3">
        <v>2.4866677078003669</v>
      </c>
    </row>
    <row r="118" spans="1:8" ht="14.1" customHeight="1" x14ac:dyDescent="0.25">
      <c r="A118" s="2" t="s">
        <v>246</v>
      </c>
      <c r="B118" s="2" t="s">
        <v>597</v>
      </c>
      <c r="C118" s="2" t="s">
        <v>598</v>
      </c>
      <c r="D118" s="2" t="s">
        <v>32</v>
      </c>
      <c r="E118" s="9">
        <v>2449963.827</v>
      </c>
      <c r="F118" s="9">
        <v>4752.9134862147739</v>
      </c>
      <c r="G118" s="3">
        <v>0.19399933312626719</v>
      </c>
      <c r="H118" s="3">
        <v>2.8006621213863981E-3</v>
      </c>
    </row>
    <row r="119" spans="1:8" ht="14.1" customHeight="1" x14ac:dyDescent="0.25">
      <c r="A119" s="2" t="s">
        <v>246</v>
      </c>
      <c r="B119" s="2" t="s">
        <v>599</v>
      </c>
      <c r="C119" s="2" t="s">
        <v>600</v>
      </c>
      <c r="D119" s="2" t="s">
        <v>32</v>
      </c>
      <c r="E119" s="9">
        <v>1831822.7649999999</v>
      </c>
      <c r="F119" s="9">
        <v>39777.497964008588</v>
      </c>
      <c r="G119" s="3">
        <v>2.1714708826652558</v>
      </c>
      <c r="H119" s="3">
        <v>2.3438956369484679E-2</v>
      </c>
    </row>
    <row r="120" spans="1:8" ht="14.1" customHeight="1" x14ac:dyDescent="0.25">
      <c r="A120" s="2" t="s">
        <v>171</v>
      </c>
      <c r="B120" s="2" t="s">
        <v>601</v>
      </c>
      <c r="C120" s="2" t="s">
        <v>602</v>
      </c>
      <c r="D120" s="2" t="s">
        <v>32</v>
      </c>
      <c r="E120" s="9">
        <v>162442.179</v>
      </c>
      <c r="F120" s="9">
        <v>0</v>
      </c>
      <c r="G120" s="3">
        <v>0</v>
      </c>
      <c r="H120" s="3">
        <v>0</v>
      </c>
    </row>
    <row r="121" spans="1:8" ht="14.1" customHeight="1" x14ac:dyDescent="0.25">
      <c r="A121" s="2" t="s">
        <v>177</v>
      </c>
      <c r="B121" s="2" t="s">
        <v>603</v>
      </c>
      <c r="C121" s="2" t="s">
        <v>604</v>
      </c>
      <c r="D121" s="2" t="s">
        <v>21</v>
      </c>
      <c r="E121" s="9">
        <v>526566.69099999999</v>
      </c>
      <c r="F121" s="9">
        <v>18778.913841417569</v>
      </c>
      <c r="G121" s="3">
        <v>3.566293531737573</v>
      </c>
      <c r="H121" s="3">
        <v>1.1065505995212711E-2</v>
      </c>
    </row>
    <row r="122" spans="1:8" ht="14.1" customHeight="1" x14ac:dyDescent="0.25">
      <c r="A122" s="2" t="s">
        <v>349</v>
      </c>
      <c r="B122" s="2" t="s">
        <v>605</v>
      </c>
      <c r="C122" s="2" t="s">
        <v>606</v>
      </c>
      <c r="D122" s="2" t="s">
        <v>41</v>
      </c>
      <c r="E122" s="9">
        <v>688317.701</v>
      </c>
      <c r="F122" s="9">
        <v>10110.275752226429</v>
      </c>
      <c r="G122" s="3">
        <v>1.468838551956174</v>
      </c>
      <c r="H122" s="3">
        <v>5.9574966845404127E-3</v>
      </c>
    </row>
    <row r="123" spans="1:8" ht="14.1" customHeight="1" x14ac:dyDescent="0.25">
      <c r="A123" s="2" t="s">
        <v>233</v>
      </c>
      <c r="B123" s="2" t="s">
        <v>607</v>
      </c>
      <c r="C123" s="2" t="s">
        <v>608</v>
      </c>
      <c r="D123" s="2" t="s">
        <v>7</v>
      </c>
      <c r="E123" s="9">
        <v>2914113.6260000002</v>
      </c>
      <c r="F123" s="9">
        <v>2914113.6259323182</v>
      </c>
      <c r="G123" s="3">
        <v>99.999999997677435</v>
      </c>
      <c r="H123" s="3">
        <v>1.717146266860498</v>
      </c>
    </row>
    <row r="124" spans="1:8" ht="14.1" customHeight="1" x14ac:dyDescent="0.25">
      <c r="A124" s="2" t="s">
        <v>310</v>
      </c>
      <c r="B124" s="2" t="s">
        <v>609</v>
      </c>
      <c r="C124" s="2" t="s">
        <v>610</v>
      </c>
      <c r="D124" s="2" t="s">
        <v>280</v>
      </c>
      <c r="E124" s="9">
        <v>623515.49</v>
      </c>
      <c r="F124" s="9">
        <v>163457.5550213244</v>
      </c>
      <c r="G124" s="3">
        <v>26.215476221981969</v>
      </c>
      <c r="H124" s="3">
        <v>9.6317634253267295E-2</v>
      </c>
    </row>
    <row r="125" spans="1:8" ht="14.1" customHeight="1" x14ac:dyDescent="0.25">
      <c r="A125" s="2" t="s">
        <v>171</v>
      </c>
      <c r="B125" s="2" t="s">
        <v>611</v>
      </c>
      <c r="C125" s="2" t="s">
        <v>612</v>
      </c>
      <c r="D125" s="2" t="s">
        <v>32</v>
      </c>
      <c r="E125" s="9">
        <v>1697944.737</v>
      </c>
      <c r="F125" s="9">
        <v>6487.964713430948</v>
      </c>
      <c r="G125" s="3">
        <v>0.3821069421195743</v>
      </c>
      <c r="H125" s="3">
        <v>3.8230439225328079E-3</v>
      </c>
    </row>
    <row r="126" spans="1:8" ht="14.1" customHeight="1" x14ac:dyDescent="0.25">
      <c r="A126" s="2" t="s">
        <v>197</v>
      </c>
      <c r="B126" s="2" t="s">
        <v>613</v>
      </c>
      <c r="C126" s="2" t="s">
        <v>614</v>
      </c>
      <c r="D126" s="2" t="s">
        <v>7</v>
      </c>
      <c r="E126" s="9">
        <v>5058245.6380000003</v>
      </c>
      <c r="F126" s="9">
        <v>1689293.583990942</v>
      </c>
      <c r="G126" s="3">
        <v>33.396827771671411</v>
      </c>
      <c r="H126" s="3">
        <v>0.99541903430529066</v>
      </c>
    </row>
    <row r="127" spans="1:8" ht="14.1" customHeight="1" x14ac:dyDescent="0.25">
      <c r="A127" s="2" t="s">
        <v>263</v>
      </c>
      <c r="B127" s="2" t="s">
        <v>615</v>
      </c>
      <c r="C127" s="2" t="s">
        <v>616</v>
      </c>
      <c r="D127" s="2" t="s">
        <v>7</v>
      </c>
      <c r="E127" s="9">
        <v>3415839.446</v>
      </c>
      <c r="F127" s="9">
        <v>1748355.739480257</v>
      </c>
      <c r="G127" s="3">
        <v>51.183779774181382</v>
      </c>
      <c r="H127" s="3">
        <v>1.030221506970977</v>
      </c>
    </row>
    <row r="128" spans="1:8" ht="14.1" customHeight="1" x14ac:dyDescent="0.25">
      <c r="A128" s="2" t="s">
        <v>270</v>
      </c>
      <c r="B128" s="2" t="s">
        <v>617</v>
      </c>
      <c r="C128" s="2" t="s">
        <v>618</v>
      </c>
      <c r="D128" s="2" t="s">
        <v>32</v>
      </c>
      <c r="E128" s="9">
        <v>1563268.9850000001</v>
      </c>
      <c r="F128" s="9">
        <v>27790.63848421842</v>
      </c>
      <c r="G128" s="3">
        <v>1.777725954450406</v>
      </c>
      <c r="H128" s="3">
        <v>1.6375679624221252E-2</v>
      </c>
    </row>
    <row r="129" spans="1:8" ht="14.1" customHeight="1" x14ac:dyDescent="0.25">
      <c r="A129" s="2" t="s">
        <v>272</v>
      </c>
      <c r="B129" s="2" t="s">
        <v>619</v>
      </c>
      <c r="C129" s="2" t="s">
        <v>620</v>
      </c>
      <c r="D129" s="2" t="s">
        <v>7</v>
      </c>
      <c r="E129" s="9">
        <v>21135040.283</v>
      </c>
      <c r="F129" s="9">
        <v>1497896.1965198431</v>
      </c>
      <c r="G129" s="3">
        <v>7.0872644502347049</v>
      </c>
      <c r="H129" s="3">
        <v>0.88263780763719824</v>
      </c>
    </row>
    <row r="130" spans="1:8" ht="14.1" customHeight="1" x14ac:dyDescent="0.25">
      <c r="A130" s="2" t="s">
        <v>287</v>
      </c>
      <c r="B130" s="2" t="s">
        <v>621</v>
      </c>
      <c r="C130" s="2" t="s">
        <v>622</v>
      </c>
      <c r="D130" s="2" t="s">
        <v>10</v>
      </c>
      <c r="E130" s="9">
        <v>319095.57900000003</v>
      </c>
      <c r="F130" s="9">
        <v>20219.37309895438</v>
      </c>
      <c r="G130" s="3">
        <v>6.3364629376311026</v>
      </c>
      <c r="H130" s="3">
        <v>1.1914298991694661E-2</v>
      </c>
    </row>
    <row r="131" spans="1:8" ht="14.1" customHeight="1" x14ac:dyDescent="0.25">
      <c r="A131" s="2" t="s">
        <v>287</v>
      </c>
      <c r="B131" s="2" t="s">
        <v>623</v>
      </c>
      <c r="C131" s="2" t="s">
        <v>624</v>
      </c>
      <c r="D131" s="2" t="s">
        <v>10</v>
      </c>
      <c r="E131" s="9">
        <v>35708.962</v>
      </c>
      <c r="F131" s="9">
        <v>3856.4873247785558</v>
      </c>
      <c r="G131" s="3">
        <v>10.79977436694619</v>
      </c>
      <c r="H131" s="3">
        <v>2.2724415252750102E-3</v>
      </c>
    </row>
    <row r="132" spans="1:8" ht="14.1" customHeight="1" x14ac:dyDescent="0.25">
      <c r="A132" s="2" t="s">
        <v>355</v>
      </c>
      <c r="B132" s="2" t="s">
        <v>625</v>
      </c>
      <c r="C132" s="2" t="s">
        <v>626</v>
      </c>
      <c r="D132" s="2" t="s">
        <v>7</v>
      </c>
      <c r="E132" s="9">
        <v>1588633.8419999999</v>
      </c>
      <c r="F132" s="9">
        <v>777065.13601325999</v>
      </c>
      <c r="G132" s="3">
        <v>48.9140490067226</v>
      </c>
      <c r="H132" s="3">
        <v>0.45788691475121129</v>
      </c>
    </row>
    <row r="133" spans="1:8" ht="14.1" customHeight="1" x14ac:dyDescent="0.25">
      <c r="A133" s="2" t="s">
        <v>235</v>
      </c>
      <c r="B133" s="2" t="s">
        <v>627</v>
      </c>
      <c r="C133" s="2" t="s">
        <v>628</v>
      </c>
      <c r="D133" s="2" t="s">
        <v>21</v>
      </c>
      <c r="E133" s="9">
        <v>375667.60600000003</v>
      </c>
      <c r="F133" s="9">
        <v>0</v>
      </c>
      <c r="G133" s="3">
        <v>0</v>
      </c>
      <c r="H133" s="3">
        <v>0</v>
      </c>
    </row>
    <row r="134" spans="1:8" ht="14.1" customHeight="1" x14ac:dyDescent="0.25">
      <c r="A134" s="2" t="s">
        <v>277</v>
      </c>
      <c r="B134" s="2" t="s">
        <v>629</v>
      </c>
      <c r="C134" s="2" t="s">
        <v>630</v>
      </c>
      <c r="D134" s="2" t="s">
        <v>10</v>
      </c>
      <c r="E134" s="9">
        <v>113182.579</v>
      </c>
      <c r="F134" s="9">
        <v>3171.3782972525869</v>
      </c>
      <c r="G134" s="3">
        <v>2.8020021502183541</v>
      </c>
      <c r="H134" s="3">
        <v>1.868739899319273E-3</v>
      </c>
    </row>
    <row r="135" spans="1:8" ht="14.1" customHeight="1" x14ac:dyDescent="0.25">
      <c r="A135" s="2" t="s">
        <v>327</v>
      </c>
      <c r="B135" s="2" t="s">
        <v>631</v>
      </c>
      <c r="C135" s="2" t="s">
        <v>632</v>
      </c>
      <c r="D135" s="2" t="s">
        <v>10</v>
      </c>
      <c r="E135" s="9">
        <v>179126.11499999999</v>
      </c>
      <c r="F135" s="9">
        <v>139702.1843144962</v>
      </c>
      <c r="G135" s="3">
        <v>77.99096425135788</v>
      </c>
      <c r="H135" s="3">
        <v>8.2319742831285861E-2</v>
      </c>
    </row>
    <row r="136" spans="1:8" ht="14.1" customHeight="1" x14ac:dyDescent="0.25">
      <c r="A136" s="2" t="s">
        <v>189</v>
      </c>
      <c r="B136" s="2" t="s">
        <v>633</v>
      </c>
      <c r="C136" s="2" t="s">
        <v>634</v>
      </c>
      <c r="D136" s="2" t="s">
        <v>39</v>
      </c>
      <c r="E136" s="9">
        <v>525998.26399999997</v>
      </c>
      <c r="F136" s="9">
        <v>176257.85692861231</v>
      </c>
      <c r="G136" s="3">
        <v>33.509208868531992</v>
      </c>
      <c r="H136" s="3">
        <v>0.10386023329236781</v>
      </c>
    </row>
    <row r="137" spans="1:8" ht="14.1" customHeight="1" x14ac:dyDescent="0.25">
      <c r="A137" s="2" t="s">
        <v>217</v>
      </c>
      <c r="B137" s="2" t="s">
        <v>635</v>
      </c>
      <c r="C137" s="2" t="s">
        <v>636</v>
      </c>
      <c r="D137" s="2" t="s">
        <v>39</v>
      </c>
      <c r="E137" s="9">
        <v>1172576.057</v>
      </c>
      <c r="F137" s="9">
        <v>156751.61037067141</v>
      </c>
      <c r="G137" s="3">
        <v>13.368140124890109</v>
      </c>
      <c r="H137" s="3">
        <v>9.2366145292723467E-2</v>
      </c>
    </row>
    <row r="138" spans="1:8" ht="14.1" customHeight="1" x14ac:dyDescent="0.25">
      <c r="A138" s="2" t="s">
        <v>217</v>
      </c>
      <c r="B138" s="2" t="s">
        <v>637</v>
      </c>
      <c r="C138" s="2" t="s">
        <v>638</v>
      </c>
      <c r="D138" s="2" t="s">
        <v>39</v>
      </c>
      <c r="E138" s="9">
        <v>2319397.534</v>
      </c>
      <c r="F138" s="9">
        <v>505174.12650980568</v>
      </c>
      <c r="G138" s="3">
        <v>21.780402846190391</v>
      </c>
      <c r="H138" s="3">
        <v>0.29767468836198813</v>
      </c>
    </row>
    <row r="139" spans="1:8" ht="14.1" customHeight="1" x14ac:dyDescent="0.25">
      <c r="A139" s="2" t="s">
        <v>219</v>
      </c>
      <c r="B139" s="2" t="s">
        <v>639</v>
      </c>
      <c r="C139" s="2" t="s">
        <v>640</v>
      </c>
      <c r="D139" s="2" t="s">
        <v>21</v>
      </c>
      <c r="E139" s="9">
        <v>1601515.669</v>
      </c>
      <c r="F139" s="9">
        <v>72762.362270310259</v>
      </c>
      <c r="G139" s="3">
        <v>4.5433437635826381</v>
      </c>
      <c r="H139" s="3">
        <v>4.28753421378485E-2</v>
      </c>
    </row>
    <row r="140" spans="1:8" ht="14.1" customHeight="1" x14ac:dyDescent="0.25">
      <c r="A140" s="2" t="s">
        <v>215</v>
      </c>
      <c r="B140" s="2" t="s">
        <v>641</v>
      </c>
      <c r="C140" s="2" t="s">
        <v>642</v>
      </c>
      <c r="D140" s="2" t="s">
        <v>7</v>
      </c>
      <c r="E140" s="9">
        <v>1577937.611</v>
      </c>
      <c r="F140" s="9">
        <v>449647.16349020088</v>
      </c>
      <c r="G140" s="3">
        <v>28.495877172560839</v>
      </c>
      <c r="H140" s="3">
        <v>0.26495533369759661</v>
      </c>
    </row>
    <row r="141" spans="1:8" ht="14.1" customHeight="1" x14ac:dyDescent="0.25">
      <c r="A141" s="2" t="s">
        <v>203</v>
      </c>
      <c r="B141" s="2" t="s">
        <v>643</v>
      </c>
      <c r="C141" s="2" t="s">
        <v>644</v>
      </c>
      <c r="D141" s="2" t="s">
        <v>7</v>
      </c>
      <c r="E141" s="9">
        <v>3432084.4169999999</v>
      </c>
      <c r="F141" s="9">
        <v>63595.587569082447</v>
      </c>
      <c r="G141" s="3">
        <v>1.8529727081908911</v>
      </c>
      <c r="H141" s="3">
        <v>3.7473805005840272E-2</v>
      </c>
    </row>
    <row r="142" spans="1:8" ht="14.1" customHeight="1" x14ac:dyDescent="0.25">
      <c r="A142" s="2" t="s">
        <v>255</v>
      </c>
      <c r="B142" s="2" t="s">
        <v>645</v>
      </c>
      <c r="C142" s="2" t="s">
        <v>646</v>
      </c>
      <c r="D142" s="2" t="s">
        <v>39</v>
      </c>
      <c r="E142" s="9">
        <v>370729.853</v>
      </c>
      <c r="F142" s="9">
        <v>14403.36277644634</v>
      </c>
      <c r="G142" s="3">
        <v>3.8851370236014788</v>
      </c>
      <c r="H142" s="3">
        <v>8.4872053037738059E-3</v>
      </c>
    </row>
    <row r="143" spans="1:8" ht="14.1" customHeight="1" x14ac:dyDescent="0.25">
      <c r="A143" s="2" t="s">
        <v>224</v>
      </c>
      <c r="B143" s="2" t="s">
        <v>647</v>
      </c>
      <c r="C143" s="2" t="s">
        <v>648</v>
      </c>
      <c r="D143" s="2" t="s">
        <v>65</v>
      </c>
      <c r="E143" s="9">
        <v>496398.41200000001</v>
      </c>
      <c r="F143" s="9">
        <v>143042.2877817761</v>
      </c>
      <c r="G143" s="3">
        <v>28.816024452104031</v>
      </c>
      <c r="H143" s="3">
        <v>8.4287904315700379E-2</v>
      </c>
    </row>
    <row r="144" spans="1:8" ht="14.1" customHeight="1" x14ac:dyDescent="0.25">
      <c r="A144" s="2" t="s">
        <v>298</v>
      </c>
      <c r="B144" s="2" t="s">
        <v>649</v>
      </c>
      <c r="C144" s="2" t="s">
        <v>650</v>
      </c>
      <c r="D144" s="2" t="s">
        <v>7</v>
      </c>
      <c r="E144" s="9">
        <v>1951434.986</v>
      </c>
      <c r="F144" s="9">
        <v>10773.719387639039</v>
      </c>
      <c r="G144" s="3">
        <v>0.55209215090084673</v>
      </c>
      <c r="H144" s="3">
        <v>6.3484319424120554E-3</v>
      </c>
    </row>
    <row r="145" spans="1:8" ht="14.1" customHeight="1" x14ac:dyDescent="0.25">
      <c r="A145" s="2" t="s">
        <v>229</v>
      </c>
      <c r="B145" s="2" t="s">
        <v>651</v>
      </c>
      <c r="C145" s="2" t="s">
        <v>652</v>
      </c>
      <c r="D145" s="2" t="s">
        <v>39</v>
      </c>
      <c r="E145" s="9">
        <v>2049193.3940000001</v>
      </c>
      <c r="F145" s="9">
        <v>568152.52588950354</v>
      </c>
      <c r="G145" s="3">
        <v>27.725666477016929</v>
      </c>
      <c r="H145" s="3">
        <v>0.3347848142079215</v>
      </c>
    </row>
    <row r="146" spans="1:8" ht="14.1" customHeight="1" x14ac:dyDescent="0.25">
      <c r="A146" s="2" t="s">
        <v>229</v>
      </c>
      <c r="B146" s="2" t="s">
        <v>653</v>
      </c>
      <c r="C146" s="2" t="s">
        <v>654</v>
      </c>
      <c r="D146" s="2" t="s">
        <v>39</v>
      </c>
      <c r="E146" s="9">
        <v>1556181.9439999999</v>
      </c>
      <c r="F146" s="9">
        <v>189902.30347836509</v>
      </c>
      <c r="G146" s="3">
        <v>12.203091303722591</v>
      </c>
      <c r="H146" s="3">
        <v>0.1119002459561807</v>
      </c>
    </row>
    <row r="147" spans="1:8" ht="14.1" customHeight="1" x14ac:dyDescent="0.25">
      <c r="A147" s="2" t="s">
        <v>213</v>
      </c>
      <c r="B147" s="2" t="s">
        <v>655</v>
      </c>
      <c r="C147" s="2" t="s">
        <v>656</v>
      </c>
      <c r="D147" s="2" t="s">
        <v>32</v>
      </c>
      <c r="E147" s="9">
        <v>1041407.349</v>
      </c>
      <c r="F147" s="9">
        <v>84119.753076314111</v>
      </c>
      <c r="G147" s="3">
        <v>8.0775071500205158</v>
      </c>
      <c r="H147" s="3">
        <v>4.9567703427489652E-2</v>
      </c>
    </row>
    <row r="148" spans="1:8" ht="14.1" customHeight="1" x14ac:dyDescent="0.25">
      <c r="A148" s="2" t="s">
        <v>265</v>
      </c>
      <c r="B148" s="2" t="s">
        <v>657</v>
      </c>
      <c r="C148" s="2" t="s">
        <v>658</v>
      </c>
      <c r="D148" s="2" t="s">
        <v>32</v>
      </c>
      <c r="E148" s="9">
        <v>2292025.733</v>
      </c>
      <c r="F148" s="9">
        <v>9351.3398163605925</v>
      </c>
      <c r="G148" s="3">
        <v>0.4079945387053206</v>
      </c>
      <c r="H148" s="3">
        <v>5.5102924309171986E-3</v>
      </c>
    </row>
    <row r="149" spans="1:8" ht="14.1" customHeight="1" x14ac:dyDescent="0.25">
      <c r="A149" s="2" t="s">
        <v>231</v>
      </c>
      <c r="B149" s="2" t="s">
        <v>659</v>
      </c>
      <c r="C149" s="2" t="s">
        <v>660</v>
      </c>
      <c r="D149" s="2" t="s">
        <v>7</v>
      </c>
      <c r="E149" s="9">
        <v>1969997.1939999999</v>
      </c>
      <c r="F149" s="9">
        <v>386467.73325813288</v>
      </c>
      <c r="G149" s="3">
        <v>19.61767937716834</v>
      </c>
      <c r="H149" s="3">
        <v>0.22772675008989321</v>
      </c>
    </row>
    <row r="150" spans="1:8" ht="14.1" customHeight="1" x14ac:dyDescent="0.25">
      <c r="A150" s="2" t="s">
        <v>246</v>
      </c>
      <c r="B150" s="2" t="s">
        <v>661</v>
      </c>
      <c r="C150" s="2" t="s">
        <v>662</v>
      </c>
      <c r="D150" s="2" t="s">
        <v>32</v>
      </c>
      <c r="E150" s="9">
        <v>1403936.6059999999</v>
      </c>
      <c r="F150" s="9">
        <v>212991.23449473121</v>
      </c>
      <c r="G150" s="3">
        <v>15.171000854630559</v>
      </c>
      <c r="H150" s="3">
        <v>0.12550543668990449</v>
      </c>
    </row>
    <row r="151" spans="1:8" ht="14.1" customHeight="1" x14ac:dyDescent="0.25">
      <c r="A151" s="2" t="s">
        <v>308</v>
      </c>
      <c r="B151" s="2" t="s">
        <v>663</v>
      </c>
      <c r="C151" s="2" t="s">
        <v>664</v>
      </c>
      <c r="D151" s="2" t="s">
        <v>41</v>
      </c>
      <c r="E151" s="9">
        <v>1246995.2169999999</v>
      </c>
      <c r="F151" s="9">
        <v>101562.9754620117</v>
      </c>
      <c r="G151" s="3">
        <v>8.1446162805940983</v>
      </c>
      <c r="H151" s="3">
        <v>5.9846151026469369E-2</v>
      </c>
    </row>
    <row r="152" spans="1:8" ht="14.1" customHeight="1" x14ac:dyDescent="0.25">
      <c r="A152" s="2" t="s">
        <v>284</v>
      </c>
      <c r="B152" s="2" t="s">
        <v>665</v>
      </c>
      <c r="C152" s="2" t="s">
        <v>666</v>
      </c>
      <c r="D152" s="2" t="s">
        <v>285</v>
      </c>
      <c r="E152" s="9">
        <v>554774.95799999998</v>
      </c>
      <c r="F152" s="9">
        <v>67143.43387845793</v>
      </c>
      <c r="G152" s="3">
        <v>12.1028234800854</v>
      </c>
      <c r="H152" s="3">
        <v>3.9564379303055543E-2</v>
      </c>
    </row>
    <row r="153" spans="1:8" ht="14.1" customHeight="1" x14ac:dyDescent="0.25">
      <c r="A153" s="2" t="s">
        <v>287</v>
      </c>
      <c r="B153" s="2" t="s">
        <v>667</v>
      </c>
      <c r="C153" s="2" t="s">
        <v>668</v>
      </c>
      <c r="D153" s="2" t="s">
        <v>10</v>
      </c>
      <c r="E153" s="9">
        <v>277299.09999999998</v>
      </c>
      <c r="F153" s="9">
        <v>2355.3119318454128</v>
      </c>
      <c r="G153" s="3">
        <v>0.84937597411798793</v>
      </c>
      <c r="H153" s="3">
        <v>1.387871445735545E-3</v>
      </c>
    </row>
    <row r="154" spans="1:8" ht="14.1" customHeight="1" x14ac:dyDescent="0.25">
      <c r="A154" s="2" t="s">
        <v>349</v>
      </c>
      <c r="B154" s="2" t="s">
        <v>669</v>
      </c>
      <c r="C154" s="2" t="s">
        <v>670</v>
      </c>
      <c r="D154" s="2" t="s">
        <v>41</v>
      </c>
      <c r="E154" s="9">
        <v>1326133.041</v>
      </c>
      <c r="F154" s="9">
        <v>130527.2114615201</v>
      </c>
      <c r="G154" s="3">
        <v>9.8426935628640351</v>
      </c>
      <c r="H154" s="3">
        <v>7.6913374924820324E-2</v>
      </c>
    </row>
    <row r="155" spans="1:8" ht="14.1" customHeight="1" x14ac:dyDescent="0.25">
      <c r="A155" s="2" t="s">
        <v>192</v>
      </c>
      <c r="B155" s="2" t="s">
        <v>671</v>
      </c>
      <c r="C155" s="2" t="s">
        <v>672</v>
      </c>
      <c r="D155" s="2" t="s">
        <v>32</v>
      </c>
      <c r="E155" s="9">
        <v>5182219.2520000003</v>
      </c>
      <c r="F155" s="9">
        <v>870487.42048222374</v>
      </c>
      <c r="G155" s="3">
        <v>16.797579919959428</v>
      </c>
      <c r="H155" s="3">
        <v>0.51293615016533733</v>
      </c>
    </row>
    <row r="156" spans="1:8" ht="14.1" customHeight="1" x14ac:dyDescent="0.25">
      <c r="A156" s="2" t="s">
        <v>205</v>
      </c>
      <c r="B156" s="2" t="s">
        <v>673</v>
      </c>
      <c r="C156" s="2" t="s">
        <v>674</v>
      </c>
      <c r="D156" s="2" t="s">
        <v>10</v>
      </c>
      <c r="E156" s="9">
        <v>147137.83300000001</v>
      </c>
      <c r="F156" s="9">
        <v>2812.5800592126789</v>
      </c>
      <c r="G156" s="3">
        <v>1.9115274446190049</v>
      </c>
      <c r="H156" s="3">
        <v>1.6573174449840411E-3</v>
      </c>
    </row>
    <row r="157" spans="1:8" ht="14.1" customHeight="1" x14ac:dyDescent="0.25">
      <c r="A157" s="2" t="s">
        <v>314</v>
      </c>
      <c r="B157" s="2" t="s">
        <v>675</v>
      </c>
      <c r="C157" s="2" t="s">
        <v>676</v>
      </c>
      <c r="D157" s="2" t="s">
        <v>32</v>
      </c>
      <c r="E157" s="9">
        <v>356502.45400000003</v>
      </c>
      <c r="F157" s="9">
        <v>227319.61157916949</v>
      </c>
      <c r="G157" s="3">
        <v>63.763827998549907</v>
      </c>
      <c r="H157" s="3">
        <v>0.1339484565508206</v>
      </c>
    </row>
    <row r="158" spans="1:8" ht="14.1" customHeight="1" x14ac:dyDescent="0.25">
      <c r="A158" s="2" t="s">
        <v>349</v>
      </c>
      <c r="B158" s="2" t="s">
        <v>677</v>
      </c>
      <c r="C158" s="2" t="s">
        <v>678</v>
      </c>
      <c r="D158" s="2" t="s">
        <v>41</v>
      </c>
      <c r="E158" s="9">
        <v>237415.90100000001</v>
      </c>
      <c r="F158" s="9">
        <v>181003.98150656061</v>
      </c>
      <c r="G158" s="3">
        <v>76.239199120264715</v>
      </c>
      <c r="H158" s="3">
        <v>0.10665689503834599</v>
      </c>
    </row>
    <row r="159" spans="1:8" ht="14.1" customHeight="1" x14ac:dyDescent="0.25">
      <c r="A159" s="2" t="s">
        <v>293</v>
      </c>
      <c r="B159" s="2" t="s">
        <v>679</v>
      </c>
      <c r="C159" s="2" t="s">
        <v>680</v>
      </c>
      <c r="D159" s="2" t="s">
        <v>21</v>
      </c>
      <c r="E159" s="9">
        <v>749823.15399999998</v>
      </c>
      <c r="F159" s="9">
        <v>372921.85821062751</v>
      </c>
      <c r="G159" s="3">
        <v>49.73464159131948</v>
      </c>
      <c r="H159" s="3">
        <v>0.21974482084657451</v>
      </c>
    </row>
    <row r="160" spans="1:8" ht="14.1" customHeight="1" x14ac:dyDescent="0.25">
      <c r="A160" s="2" t="s">
        <v>158</v>
      </c>
      <c r="B160" s="2" t="s">
        <v>681</v>
      </c>
      <c r="C160" s="2" t="s">
        <v>682</v>
      </c>
      <c r="D160" s="2" t="s">
        <v>21</v>
      </c>
      <c r="E160" s="9">
        <v>268734.71000000002</v>
      </c>
      <c r="F160" s="9">
        <v>261052.71941672449</v>
      </c>
      <c r="G160" s="3">
        <v>97.141422266116834</v>
      </c>
      <c r="H160" s="3">
        <v>0.15382574605573079</v>
      </c>
    </row>
    <row r="161" spans="1:8" ht="14.1" customHeight="1" x14ac:dyDescent="0.25">
      <c r="A161" s="2" t="s">
        <v>277</v>
      </c>
      <c r="B161" s="2" t="s">
        <v>683</v>
      </c>
      <c r="C161" s="2" t="s">
        <v>684</v>
      </c>
      <c r="D161" s="2" t="s">
        <v>10</v>
      </c>
      <c r="E161" s="9">
        <v>73476.907999999996</v>
      </c>
      <c r="F161" s="9">
        <v>54862.440005455719</v>
      </c>
      <c r="G161" s="3">
        <v>74.666233921350795</v>
      </c>
      <c r="H161" s="3">
        <v>3.2327783380816717E-2</v>
      </c>
    </row>
    <row r="162" spans="1:8" ht="14.1" customHeight="1" x14ac:dyDescent="0.25">
      <c r="A162" s="2" t="s">
        <v>314</v>
      </c>
      <c r="B162" s="2" t="s">
        <v>685</v>
      </c>
      <c r="C162" s="2" t="s">
        <v>686</v>
      </c>
      <c r="D162" s="2" t="s">
        <v>32</v>
      </c>
      <c r="E162" s="9">
        <v>859020.45200000005</v>
      </c>
      <c r="F162" s="9">
        <v>74788.31759465512</v>
      </c>
      <c r="G162" s="3">
        <v>8.7062324791604748</v>
      </c>
      <c r="H162" s="3">
        <v>4.406913965866821E-2</v>
      </c>
    </row>
    <row r="163" spans="1:8" ht="14.1" customHeight="1" x14ac:dyDescent="0.25">
      <c r="A163" s="2" t="s">
        <v>298</v>
      </c>
      <c r="B163" s="2" t="s">
        <v>687</v>
      </c>
      <c r="C163" s="2" t="s">
        <v>688</v>
      </c>
      <c r="D163" s="2" t="s">
        <v>7</v>
      </c>
      <c r="E163" s="9">
        <v>5634726.8320000004</v>
      </c>
      <c r="F163" s="9">
        <v>797805.2416762613</v>
      </c>
      <c r="G163" s="3">
        <v>14.15872083000494</v>
      </c>
      <c r="H163" s="3">
        <v>0.47010805626628199</v>
      </c>
    </row>
    <row r="164" spans="1:8" ht="14.1" customHeight="1" x14ac:dyDescent="0.25">
      <c r="A164" s="2" t="s">
        <v>248</v>
      </c>
      <c r="B164" s="2" t="s">
        <v>247</v>
      </c>
      <c r="C164" s="2" t="s">
        <v>689</v>
      </c>
      <c r="D164" s="2" t="s">
        <v>239</v>
      </c>
      <c r="E164" s="9">
        <v>1088197.5789999999</v>
      </c>
      <c r="F164" s="9">
        <v>159338.68149576109</v>
      </c>
      <c r="G164" s="3">
        <v>14.64244035923932</v>
      </c>
      <c r="H164" s="3">
        <v>9.3890581225838196E-2</v>
      </c>
    </row>
    <row r="165" spans="1:8" ht="14.1" customHeight="1" x14ac:dyDescent="0.25">
      <c r="A165" s="2" t="s">
        <v>185</v>
      </c>
      <c r="B165" s="2" t="s">
        <v>690</v>
      </c>
      <c r="C165" s="2" t="s">
        <v>691</v>
      </c>
      <c r="D165" s="2" t="s">
        <v>7</v>
      </c>
      <c r="E165" s="9">
        <v>2324666.7140000002</v>
      </c>
      <c r="F165" s="9">
        <v>12931.972934192539</v>
      </c>
      <c r="G165" s="3">
        <v>0.55629363367709572</v>
      </c>
      <c r="H165" s="3">
        <v>7.6201864091642217E-3</v>
      </c>
    </row>
    <row r="166" spans="1:8" ht="14.1" customHeight="1" x14ac:dyDescent="0.25">
      <c r="A166" s="2" t="s">
        <v>261</v>
      </c>
      <c r="B166" s="2" t="s">
        <v>692</v>
      </c>
      <c r="C166" s="2" t="s">
        <v>693</v>
      </c>
      <c r="D166" s="2" t="s">
        <v>21</v>
      </c>
      <c r="E166" s="9">
        <v>1352702.344</v>
      </c>
      <c r="F166" s="9">
        <v>18295.27652789553</v>
      </c>
      <c r="G166" s="3">
        <v>1.3524983237476771</v>
      </c>
      <c r="H166" s="3">
        <v>1.078052190947271E-2</v>
      </c>
    </row>
    <row r="167" spans="1:8" ht="14.1" customHeight="1" x14ac:dyDescent="0.25">
      <c r="A167" s="2" t="s">
        <v>323</v>
      </c>
      <c r="B167" s="2" t="s">
        <v>694</v>
      </c>
      <c r="C167" s="2" t="s">
        <v>695</v>
      </c>
      <c r="D167" s="2" t="s">
        <v>12</v>
      </c>
      <c r="E167" s="9">
        <v>36763.769999999997</v>
      </c>
      <c r="F167" s="9">
        <v>0</v>
      </c>
      <c r="G167" s="3">
        <v>0</v>
      </c>
      <c r="H167" s="3">
        <v>0</v>
      </c>
    </row>
    <row r="168" spans="1:8" ht="14.1" customHeight="1" x14ac:dyDescent="0.25">
      <c r="A168" s="2" t="s">
        <v>219</v>
      </c>
      <c r="B168" s="2" t="s">
        <v>696</v>
      </c>
      <c r="C168" s="2" t="s">
        <v>697</v>
      </c>
      <c r="D168" s="2" t="s">
        <v>21</v>
      </c>
      <c r="E168" s="9">
        <v>2257062.872</v>
      </c>
      <c r="F168" s="9">
        <v>252030.44604770729</v>
      </c>
      <c r="G168" s="3">
        <v>11.16630153170617</v>
      </c>
      <c r="H168" s="3">
        <v>0.1485093565723776</v>
      </c>
    </row>
    <row r="169" spans="1:8" ht="14.1" customHeight="1" x14ac:dyDescent="0.25">
      <c r="A169" s="2" t="s">
        <v>353</v>
      </c>
      <c r="B169" s="2" t="s">
        <v>698</v>
      </c>
      <c r="C169" s="2" t="s">
        <v>699</v>
      </c>
      <c r="D169" s="2" t="s">
        <v>32</v>
      </c>
      <c r="E169" s="9">
        <v>220919.951</v>
      </c>
      <c r="F169" s="9">
        <v>29599.886577422469</v>
      </c>
      <c r="G169" s="3">
        <v>13.398466930414299</v>
      </c>
      <c r="H169" s="3">
        <v>1.7441782051190222E-2</v>
      </c>
    </row>
    <row r="170" spans="1:8" ht="14.1" customHeight="1" x14ac:dyDescent="0.25">
      <c r="A170" s="2" t="s">
        <v>213</v>
      </c>
      <c r="B170" s="2" t="s">
        <v>700</v>
      </c>
      <c r="C170" s="2" t="s">
        <v>701</v>
      </c>
      <c r="D170" s="2" t="s">
        <v>32</v>
      </c>
      <c r="E170" s="9">
        <v>661771.27899999998</v>
      </c>
      <c r="F170" s="9">
        <v>179722.0516560734</v>
      </c>
      <c r="G170" s="3">
        <v>27.157729167039498</v>
      </c>
      <c r="H170" s="3">
        <v>0.1059015157567859</v>
      </c>
    </row>
    <row r="171" spans="1:8" ht="14.1" customHeight="1" x14ac:dyDescent="0.25">
      <c r="A171" s="2" t="s">
        <v>346</v>
      </c>
      <c r="B171" s="2" t="s">
        <v>702</v>
      </c>
      <c r="C171" s="2" t="s">
        <v>703</v>
      </c>
      <c r="D171" s="2" t="s">
        <v>21</v>
      </c>
      <c r="E171" s="9">
        <v>170645.86900000001</v>
      </c>
      <c r="F171" s="9">
        <v>0</v>
      </c>
      <c r="G171" s="3">
        <v>0</v>
      </c>
      <c r="H171" s="3">
        <v>0</v>
      </c>
    </row>
    <row r="172" spans="1:8" ht="14.1" customHeight="1" x14ac:dyDescent="0.25">
      <c r="A172" s="2" t="s">
        <v>312</v>
      </c>
      <c r="B172" s="2" t="s">
        <v>704</v>
      </c>
      <c r="C172" s="2" t="s">
        <v>705</v>
      </c>
      <c r="D172" s="2" t="s">
        <v>280</v>
      </c>
      <c r="E172" s="9">
        <v>1415805.7050000001</v>
      </c>
      <c r="F172" s="9">
        <v>319669.62597141869</v>
      </c>
      <c r="G172" s="3">
        <v>22.578636661971832</v>
      </c>
      <c r="H172" s="3">
        <v>0.18836585505134401</v>
      </c>
    </row>
    <row r="173" spans="1:8" ht="14.1" customHeight="1" x14ac:dyDescent="0.25">
      <c r="A173" s="2" t="s">
        <v>312</v>
      </c>
      <c r="B173" s="2" t="s">
        <v>706</v>
      </c>
      <c r="C173" s="2" t="s">
        <v>707</v>
      </c>
      <c r="D173" s="2" t="s">
        <v>41</v>
      </c>
      <c r="E173" s="9">
        <v>1196333.6710000001</v>
      </c>
      <c r="F173" s="9">
        <v>286397.57214815263</v>
      </c>
      <c r="G173" s="3">
        <v>23.939606406693919</v>
      </c>
      <c r="H173" s="3">
        <v>0.16876024238580339</v>
      </c>
    </row>
    <row r="174" spans="1:8" ht="14.1" customHeight="1" x14ac:dyDescent="0.25">
      <c r="A174" s="2" t="s">
        <v>312</v>
      </c>
      <c r="B174" s="2" t="s">
        <v>708</v>
      </c>
      <c r="C174" s="2" t="s">
        <v>709</v>
      </c>
      <c r="D174" s="2" t="s">
        <v>10</v>
      </c>
      <c r="E174" s="9">
        <v>504377.10200000001</v>
      </c>
      <c r="F174" s="9">
        <v>22643.35695748332</v>
      </c>
      <c r="G174" s="3">
        <v>4.4893705260797736</v>
      </c>
      <c r="H174" s="3">
        <v>1.334263548364302E-2</v>
      </c>
    </row>
    <row r="175" spans="1:8" ht="14.1" customHeight="1" x14ac:dyDescent="0.25">
      <c r="A175" s="2" t="s">
        <v>213</v>
      </c>
      <c r="B175" s="2" t="s">
        <v>710</v>
      </c>
      <c r="C175" s="2" t="s">
        <v>711</v>
      </c>
      <c r="D175" s="2" t="s">
        <v>32</v>
      </c>
      <c r="E175" s="9">
        <v>1607220.8160000001</v>
      </c>
      <c r="F175" s="9">
        <v>152027.04417036931</v>
      </c>
      <c r="G175" s="3">
        <v>9.4590016914246657</v>
      </c>
      <c r="H175" s="3">
        <v>8.9582186856377852E-2</v>
      </c>
    </row>
    <row r="176" spans="1:8" ht="14.1" customHeight="1" x14ac:dyDescent="0.25">
      <c r="A176" s="2" t="s">
        <v>246</v>
      </c>
      <c r="B176" s="2" t="s">
        <v>712</v>
      </c>
      <c r="C176" s="2" t="s">
        <v>713</v>
      </c>
      <c r="D176" s="2" t="s">
        <v>32</v>
      </c>
      <c r="E176" s="9">
        <v>2208467.8909999998</v>
      </c>
      <c r="F176" s="9">
        <v>229632.36274074469</v>
      </c>
      <c r="G176" s="3">
        <v>10.397813057484241</v>
      </c>
      <c r="H176" s="3">
        <v>0.1353112489923835</v>
      </c>
    </row>
    <row r="177" spans="1:8" ht="14.1" customHeight="1" x14ac:dyDescent="0.25">
      <c r="A177" s="2" t="s">
        <v>327</v>
      </c>
      <c r="B177" s="2" t="s">
        <v>714</v>
      </c>
      <c r="C177" s="2" t="s">
        <v>715</v>
      </c>
      <c r="D177" s="2" t="s">
        <v>10</v>
      </c>
      <c r="E177" s="9">
        <v>461514.734</v>
      </c>
      <c r="F177" s="9">
        <v>28885.150767404</v>
      </c>
      <c r="G177" s="3">
        <v>6.258771094273234</v>
      </c>
      <c r="H177" s="3">
        <v>1.702062279472092E-2</v>
      </c>
    </row>
    <row r="178" spans="1:8" ht="14.1" customHeight="1" x14ac:dyDescent="0.25">
      <c r="A178" s="2" t="s">
        <v>327</v>
      </c>
      <c r="B178" s="2" t="s">
        <v>716</v>
      </c>
      <c r="C178" s="2" t="s">
        <v>717</v>
      </c>
      <c r="D178" s="2" t="s">
        <v>10</v>
      </c>
      <c r="E178" s="9">
        <v>122752.049</v>
      </c>
      <c r="F178" s="9">
        <v>10850.593440799839</v>
      </c>
      <c r="G178" s="3">
        <v>8.8394397724471716</v>
      </c>
      <c r="H178" s="3">
        <v>6.3937301051977561E-3</v>
      </c>
    </row>
    <row r="179" spans="1:8" ht="14.1" customHeight="1" x14ac:dyDescent="0.25">
      <c r="A179" s="2" t="s">
        <v>171</v>
      </c>
      <c r="B179" s="2" t="s">
        <v>718</v>
      </c>
      <c r="C179" s="2" t="s">
        <v>719</v>
      </c>
      <c r="D179" s="2" t="s">
        <v>32</v>
      </c>
      <c r="E179" s="9">
        <v>1219008.298</v>
      </c>
      <c r="F179" s="9">
        <v>16601.302063545601</v>
      </c>
      <c r="G179" s="3">
        <v>1.361869487745325</v>
      </c>
      <c r="H179" s="3">
        <v>9.7823446586852141E-3</v>
      </c>
    </row>
    <row r="180" spans="1:8" ht="14.1" customHeight="1" x14ac:dyDescent="0.25">
      <c r="A180" s="2" t="s">
        <v>279</v>
      </c>
      <c r="B180" s="2" t="s">
        <v>720</v>
      </c>
      <c r="C180" s="2" t="s">
        <v>721</v>
      </c>
      <c r="D180" s="2" t="s">
        <v>280</v>
      </c>
      <c r="E180" s="9">
        <v>4640857.0120000001</v>
      </c>
      <c r="F180" s="9">
        <v>241527.09793490349</v>
      </c>
      <c r="G180" s="3">
        <v>5.2043641359856574</v>
      </c>
      <c r="H180" s="3">
        <v>0.14232024135019161</v>
      </c>
    </row>
    <row r="181" spans="1:8" ht="14.1" customHeight="1" x14ac:dyDescent="0.25">
      <c r="A181" s="2" t="s">
        <v>353</v>
      </c>
      <c r="B181" s="2" t="s">
        <v>722</v>
      </c>
      <c r="C181" s="2" t="s">
        <v>723</v>
      </c>
      <c r="D181" s="2" t="s">
        <v>32</v>
      </c>
      <c r="E181" s="9">
        <v>195200.326</v>
      </c>
      <c r="F181" s="9">
        <v>38508.641110198958</v>
      </c>
      <c r="G181" s="3">
        <v>19.727754507028308</v>
      </c>
      <c r="H181" s="3">
        <v>2.2691280372807481E-2</v>
      </c>
    </row>
    <row r="182" spans="1:8" ht="14.1" customHeight="1" x14ac:dyDescent="0.25">
      <c r="A182" s="2" t="s">
        <v>282</v>
      </c>
      <c r="B182" s="2" t="s">
        <v>724</v>
      </c>
      <c r="C182" s="2" t="s">
        <v>725</v>
      </c>
      <c r="D182" s="2" t="s">
        <v>10</v>
      </c>
      <c r="E182" s="9">
        <v>230853.95300000001</v>
      </c>
      <c r="F182" s="9">
        <v>1768.2939292837859</v>
      </c>
      <c r="G182" s="3">
        <v>0.76597948889520895</v>
      </c>
      <c r="H182" s="3">
        <v>1.041970118241456E-3</v>
      </c>
    </row>
    <row r="183" spans="1:8" ht="14.1" customHeight="1" x14ac:dyDescent="0.25">
      <c r="A183" s="2" t="s">
        <v>169</v>
      </c>
      <c r="B183" s="2" t="s">
        <v>726</v>
      </c>
      <c r="C183" s="2" t="s">
        <v>727</v>
      </c>
      <c r="D183" s="2" t="s">
        <v>32</v>
      </c>
      <c r="E183" s="9">
        <v>2693397.4640000002</v>
      </c>
      <c r="F183" s="9">
        <v>37464.373902191728</v>
      </c>
      <c r="G183" s="3">
        <v>1.3909708612613341</v>
      </c>
      <c r="H183" s="3">
        <v>2.2075944195838481E-2</v>
      </c>
    </row>
    <row r="184" spans="1:8" ht="14.1" customHeight="1" x14ac:dyDescent="0.25">
      <c r="A184" s="2" t="s">
        <v>179</v>
      </c>
      <c r="B184" s="2" t="s">
        <v>728</v>
      </c>
      <c r="C184" s="2" t="s">
        <v>729</v>
      </c>
      <c r="D184" s="2" t="s">
        <v>32</v>
      </c>
      <c r="E184" s="9">
        <v>1444222.8259999999</v>
      </c>
      <c r="F184" s="9">
        <v>540354.36372670962</v>
      </c>
      <c r="G184" s="3">
        <v>37.414888755311068</v>
      </c>
      <c r="H184" s="3">
        <v>0.31840470124367393</v>
      </c>
    </row>
    <row r="185" spans="1:8" ht="14.1" customHeight="1" x14ac:dyDescent="0.25">
      <c r="A185" s="2" t="s">
        <v>211</v>
      </c>
      <c r="B185" s="2" t="s">
        <v>730</v>
      </c>
      <c r="C185" s="2" t="s">
        <v>731</v>
      </c>
      <c r="D185" s="2" t="s">
        <v>32</v>
      </c>
      <c r="E185" s="9">
        <v>1486925.8629999999</v>
      </c>
      <c r="F185" s="9">
        <v>35284.529787041312</v>
      </c>
      <c r="G185" s="3">
        <v>2.372985141024567</v>
      </c>
      <c r="H185" s="3">
        <v>2.079146745088286E-2</v>
      </c>
    </row>
    <row r="186" spans="1:8" ht="14.1" customHeight="1" x14ac:dyDescent="0.25">
      <c r="A186" s="2" t="s">
        <v>327</v>
      </c>
      <c r="B186" s="2" t="s">
        <v>732</v>
      </c>
      <c r="C186" s="2" t="s">
        <v>733</v>
      </c>
      <c r="D186" s="2" t="s">
        <v>328</v>
      </c>
      <c r="E186" s="9">
        <v>135981.035</v>
      </c>
      <c r="F186" s="9">
        <v>51234.286582960311</v>
      </c>
      <c r="G186" s="3">
        <v>37.677523621555252</v>
      </c>
      <c r="H186" s="3">
        <v>3.0189887984564991E-2</v>
      </c>
    </row>
    <row r="187" spans="1:8" ht="14.1" customHeight="1" x14ac:dyDescent="0.25">
      <c r="A187" s="2" t="s">
        <v>312</v>
      </c>
      <c r="B187" s="2" t="s">
        <v>734</v>
      </c>
      <c r="C187" s="2" t="s">
        <v>735</v>
      </c>
      <c r="D187" s="2" t="s">
        <v>10</v>
      </c>
      <c r="E187" s="9">
        <v>131309.848</v>
      </c>
      <c r="F187" s="9">
        <v>115186.59479209781</v>
      </c>
      <c r="G187" s="3">
        <v>87.721215542110571</v>
      </c>
      <c r="H187" s="3">
        <v>6.7873891216696638E-2</v>
      </c>
    </row>
    <row r="188" spans="1:8" ht="14.1" customHeight="1" x14ac:dyDescent="0.25">
      <c r="A188" s="2" t="s">
        <v>255</v>
      </c>
      <c r="B188" s="2" t="s">
        <v>736</v>
      </c>
      <c r="C188" s="2" t="s">
        <v>737</v>
      </c>
      <c r="D188" s="2" t="s">
        <v>39</v>
      </c>
      <c r="E188" s="9">
        <v>441685.00699999998</v>
      </c>
      <c r="F188" s="9">
        <v>150918.33602263531</v>
      </c>
      <c r="G188" s="3">
        <v>34.168770420281739</v>
      </c>
      <c r="H188" s="3">
        <v>8.8928878749247972E-2</v>
      </c>
    </row>
    <row r="189" spans="1:8" ht="14.1" customHeight="1" x14ac:dyDescent="0.25">
      <c r="A189" s="2" t="s">
        <v>282</v>
      </c>
      <c r="B189" s="2" t="s">
        <v>738</v>
      </c>
      <c r="C189" s="2" t="s">
        <v>739</v>
      </c>
      <c r="D189" s="2" t="s">
        <v>10</v>
      </c>
      <c r="E189" s="9">
        <v>78307.331999999995</v>
      </c>
      <c r="F189" s="9">
        <v>41141.229897242687</v>
      </c>
      <c r="G189" s="3">
        <v>52.538158109182802</v>
      </c>
      <c r="H189" s="3">
        <v>2.42425376634029E-2</v>
      </c>
    </row>
    <row r="190" spans="1:8" ht="14.1" customHeight="1" x14ac:dyDescent="0.25">
      <c r="A190" s="2" t="s">
        <v>277</v>
      </c>
      <c r="B190" s="2" t="s">
        <v>740</v>
      </c>
      <c r="C190" s="2" t="s">
        <v>741</v>
      </c>
      <c r="D190" s="2" t="s">
        <v>10</v>
      </c>
      <c r="E190" s="9">
        <v>602422.821</v>
      </c>
      <c r="F190" s="9">
        <v>104547.3324026472</v>
      </c>
      <c r="G190" s="3">
        <v>17.354477413239831</v>
      </c>
      <c r="H190" s="3">
        <v>6.1604688282528478E-2</v>
      </c>
    </row>
    <row r="191" spans="1:8" ht="14.1" customHeight="1" x14ac:dyDescent="0.25">
      <c r="A191" s="2" t="s">
        <v>246</v>
      </c>
      <c r="B191" s="2" t="s">
        <v>742</v>
      </c>
      <c r="C191" s="2" t="s">
        <v>743</v>
      </c>
      <c r="D191" s="2" t="s">
        <v>32</v>
      </c>
      <c r="E191" s="9">
        <v>1057365.993</v>
      </c>
      <c r="F191" s="9">
        <v>219273.64858510959</v>
      </c>
      <c r="G191" s="3">
        <v>20.73772468915686</v>
      </c>
      <c r="H191" s="3">
        <v>0.12920735956832821</v>
      </c>
    </row>
    <row r="192" spans="1:8" ht="14.1" customHeight="1" x14ac:dyDescent="0.25">
      <c r="A192" s="2" t="s">
        <v>165</v>
      </c>
      <c r="B192" s="2" t="s">
        <v>744</v>
      </c>
      <c r="C192" s="2" t="s">
        <v>745</v>
      </c>
      <c r="D192" s="2" t="s">
        <v>7</v>
      </c>
      <c r="E192" s="9">
        <v>2992929.3939999999</v>
      </c>
      <c r="F192" s="9">
        <v>59983.35950541497</v>
      </c>
      <c r="G192" s="3">
        <v>2.004168879682398</v>
      </c>
      <c r="H192" s="3">
        <v>3.5345293653579288E-2</v>
      </c>
    </row>
    <row r="193" spans="1:8" ht="14.1" customHeight="1" x14ac:dyDescent="0.25">
      <c r="A193" s="2" t="s">
        <v>346</v>
      </c>
      <c r="B193" s="2" t="s">
        <v>746</v>
      </c>
      <c r="C193" s="2" t="s">
        <v>747</v>
      </c>
      <c r="D193" s="2" t="s">
        <v>236</v>
      </c>
      <c r="E193" s="9">
        <v>6441592.2560000001</v>
      </c>
      <c r="F193" s="9">
        <v>1482800.976001583</v>
      </c>
      <c r="G193" s="3">
        <v>23.019168507917168</v>
      </c>
      <c r="H193" s="3">
        <v>0.87374292401642895</v>
      </c>
    </row>
    <row r="194" spans="1:8" ht="14.1" customHeight="1" x14ac:dyDescent="0.25">
      <c r="A194" s="2" t="s">
        <v>327</v>
      </c>
      <c r="B194" s="2" t="s">
        <v>748</v>
      </c>
      <c r="C194" s="2" t="s">
        <v>749</v>
      </c>
      <c r="D194" s="2" t="s">
        <v>10</v>
      </c>
      <c r="E194" s="9">
        <v>437384.054</v>
      </c>
      <c r="F194" s="9">
        <v>200256.25704218569</v>
      </c>
      <c r="G194" s="3">
        <v>45.784992665092837</v>
      </c>
      <c r="H194" s="3">
        <v>0.1180013301936471</v>
      </c>
    </row>
    <row r="195" spans="1:8" ht="14.1" customHeight="1" x14ac:dyDescent="0.25">
      <c r="A195" s="2" t="s">
        <v>270</v>
      </c>
      <c r="B195" s="2" t="s">
        <v>750</v>
      </c>
      <c r="C195" s="2" t="s">
        <v>751</v>
      </c>
      <c r="D195" s="2" t="s">
        <v>10</v>
      </c>
      <c r="E195" s="9">
        <v>399575.70500000002</v>
      </c>
      <c r="F195" s="9">
        <v>0</v>
      </c>
      <c r="G195" s="3">
        <v>0</v>
      </c>
      <c r="H195" s="3">
        <v>0</v>
      </c>
    </row>
    <row r="196" spans="1:8" ht="14.1" customHeight="1" x14ac:dyDescent="0.25">
      <c r="A196" s="2" t="s">
        <v>213</v>
      </c>
      <c r="B196" s="2" t="s">
        <v>752</v>
      </c>
      <c r="C196" s="2" t="s">
        <v>753</v>
      </c>
      <c r="D196" s="2" t="s">
        <v>32</v>
      </c>
      <c r="E196" s="9">
        <v>2929528.4589999998</v>
      </c>
      <c r="F196" s="9">
        <v>186307.90134888931</v>
      </c>
      <c r="G196" s="3">
        <v>6.3596549395695519</v>
      </c>
      <c r="H196" s="3">
        <v>0.1097822385650824</v>
      </c>
    </row>
    <row r="197" spans="1:8" ht="14.1" customHeight="1" x14ac:dyDescent="0.25">
      <c r="A197" s="2" t="s">
        <v>257</v>
      </c>
      <c r="B197" s="2" t="s">
        <v>256</v>
      </c>
      <c r="C197" s="2" t="s">
        <v>754</v>
      </c>
      <c r="D197" s="2" t="s">
        <v>65</v>
      </c>
      <c r="E197" s="9">
        <v>425566.53600000002</v>
      </c>
      <c r="F197" s="9">
        <v>81864.207998814512</v>
      </c>
      <c r="G197" s="3">
        <v>19.23652380383934</v>
      </c>
      <c r="H197" s="3">
        <v>4.8238619765446487E-2</v>
      </c>
    </row>
    <row r="198" spans="1:8" ht="14.1" customHeight="1" x14ac:dyDescent="0.25">
      <c r="A198" s="2" t="s">
        <v>229</v>
      </c>
      <c r="B198" s="2" t="s">
        <v>755</v>
      </c>
      <c r="C198" s="2" t="s">
        <v>756</v>
      </c>
      <c r="D198" s="2" t="s">
        <v>39</v>
      </c>
      <c r="E198" s="9">
        <v>1922414.2450000001</v>
      </c>
      <c r="F198" s="9">
        <v>156850.04456521699</v>
      </c>
      <c r="G198" s="3">
        <v>8.1590138531883891</v>
      </c>
      <c r="H198" s="3">
        <v>9.2424147804427634E-2</v>
      </c>
    </row>
    <row r="199" spans="1:8" ht="14.1" customHeight="1" x14ac:dyDescent="0.25">
      <c r="A199" s="2" t="s">
        <v>238</v>
      </c>
      <c r="B199" s="2" t="s">
        <v>757</v>
      </c>
      <c r="C199" s="2" t="s">
        <v>758</v>
      </c>
      <c r="D199" s="2" t="s">
        <v>239</v>
      </c>
      <c r="E199" s="9">
        <v>4961542.4529999997</v>
      </c>
      <c r="F199" s="9">
        <v>3157929.672995212</v>
      </c>
      <c r="G199" s="3">
        <v>63.648143755895262</v>
      </c>
      <c r="H199" s="3">
        <v>1.860815275264653</v>
      </c>
    </row>
    <row r="200" spans="1:8" ht="14.1" customHeight="1" x14ac:dyDescent="0.25">
      <c r="A200" s="2" t="s">
        <v>353</v>
      </c>
      <c r="B200" s="2" t="s">
        <v>759</v>
      </c>
      <c r="C200" s="2" t="s">
        <v>760</v>
      </c>
      <c r="D200" s="2" t="s">
        <v>32</v>
      </c>
      <c r="E200" s="9">
        <v>257594.459</v>
      </c>
      <c r="F200" s="9">
        <v>198746.482105095</v>
      </c>
      <c r="G200" s="3">
        <v>77.154797070031307</v>
      </c>
      <c r="H200" s="3">
        <v>0.11711169281851019</v>
      </c>
    </row>
    <row r="201" spans="1:8" ht="14.1" customHeight="1" x14ac:dyDescent="0.25">
      <c r="A201" s="2" t="s">
        <v>312</v>
      </c>
      <c r="B201" s="2" t="s">
        <v>761</v>
      </c>
      <c r="C201" s="2" t="s">
        <v>762</v>
      </c>
      <c r="D201" s="2" t="s">
        <v>280</v>
      </c>
      <c r="E201" s="9">
        <v>479221.44</v>
      </c>
      <c r="F201" s="9">
        <v>143657.26470640511</v>
      </c>
      <c r="G201" s="3">
        <v>29.97721986445454</v>
      </c>
      <c r="H201" s="3">
        <v>8.4650280484197954E-2</v>
      </c>
    </row>
    <row r="202" spans="1:8" ht="14.1" customHeight="1" x14ac:dyDescent="0.25">
      <c r="A202" s="2" t="s">
        <v>265</v>
      </c>
      <c r="B202" s="2" t="s">
        <v>763</v>
      </c>
      <c r="C202" s="2" t="s">
        <v>764</v>
      </c>
      <c r="D202" s="2" t="s">
        <v>32</v>
      </c>
      <c r="E202" s="9">
        <v>2293311.3560000001</v>
      </c>
      <c r="F202" s="9">
        <v>138.70791725410101</v>
      </c>
      <c r="G202" s="3">
        <v>6.0483683077397618E-3</v>
      </c>
      <c r="H202" s="3">
        <v>8.1733869323874562E-5</v>
      </c>
    </row>
    <row r="203" spans="1:8" ht="14.1" customHeight="1" x14ac:dyDescent="0.25">
      <c r="A203" s="2" t="s">
        <v>302</v>
      </c>
      <c r="B203" s="2" t="s">
        <v>765</v>
      </c>
      <c r="C203" s="2" t="s">
        <v>766</v>
      </c>
      <c r="D203" s="2" t="s">
        <v>10</v>
      </c>
      <c r="E203" s="9">
        <v>2377522.835</v>
      </c>
      <c r="F203" s="9">
        <v>79484.510642799825</v>
      </c>
      <c r="G203" s="3">
        <v>3.3431649729160151</v>
      </c>
      <c r="H203" s="3">
        <v>4.6836379168245658E-2</v>
      </c>
    </row>
    <row r="204" spans="1:8" ht="14.1" customHeight="1" x14ac:dyDescent="0.25">
      <c r="A204" s="2" t="s">
        <v>195</v>
      </c>
      <c r="B204" s="2" t="s">
        <v>767</v>
      </c>
      <c r="C204" s="2" t="s">
        <v>768</v>
      </c>
      <c r="D204" s="2" t="s">
        <v>10</v>
      </c>
      <c r="E204" s="9">
        <v>1140082.44</v>
      </c>
      <c r="F204" s="9">
        <v>15977.720475817991</v>
      </c>
      <c r="G204" s="3">
        <v>1.4014530805174039</v>
      </c>
      <c r="H204" s="3">
        <v>9.4148981782457841E-3</v>
      </c>
    </row>
    <row r="205" spans="1:8" ht="14.1" customHeight="1" x14ac:dyDescent="0.25">
      <c r="A205" s="2" t="s">
        <v>235</v>
      </c>
      <c r="B205" s="2" t="s">
        <v>769</v>
      </c>
      <c r="C205" s="2" t="s">
        <v>770</v>
      </c>
      <c r="D205" s="2" t="s">
        <v>21</v>
      </c>
      <c r="E205" s="9">
        <v>289541.08600000001</v>
      </c>
      <c r="F205" s="9">
        <v>137833.947668974</v>
      </c>
      <c r="G205" s="3">
        <v>47.604279438592009</v>
      </c>
      <c r="H205" s="3">
        <v>8.1218881302441384E-2</v>
      </c>
    </row>
    <row r="206" spans="1:8" ht="14.1" customHeight="1" x14ac:dyDescent="0.25">
      <c r="A206" s="2" t="s">
        <v>235</v>
      </c>
      <c r="B206" s="2" t="s">
        <v>771</v>
      </c>
      <c r="C206" s="2" t="s">
        <v>772</v>
      </c>
      <c r="D206" s="2" t="s">
        <v>21</v>
      </c>
      <c r="E206" s="9">
        <v>82932.096999999994</v>
      </c>
      <c r="F206" s="9">
        <v>0</v>
      </c>
      <c r="G206" s="3">
        <v>0</v>
      </c>
      <c r="H206" s="3">
        <v>0</v>
      </c>
    </row>
    <row r="207" spans="1:8" ht="14.1" customHeight="1" x14ac:dyDescent="0.25">
      <c r="A207" s="2" t="s">
        <v>192</v>
      </c>
      <c r="B207" s="2" t="s">
        <v>773</v>
      </c>
      <c r="C207" s="2" t="s">
        <v>774</v>
      </c>
      <c r="D207" s="2" t="s">
        <v>39</v>
      </c>
      <c r="E207" s="9">
        <v>1204026.76</v>
      </c>
      <c r="F207" s="9">
        <v>186091.9870497036</v>
      </c>
      <c r="G207" s="3">
        <v>15.455801584485011</v>
      </c>
      <c r="H207" s="3">
        <v>0.1096550107076958</v>
      </c>
    </row>
    <row r="208" spans="1:8" ht="14.1" customHeight="1" x14ac:dyDescent="0.25">
      <c r="A208" s="2" t="s">
        <v>270</v>
      </c>
      <c r="B208" s="2" t="s">
        <v>775</v>
      </c>
      <c r="C208" s="2" t="s">
        <v>776</v>
      </c>
      <c r="D208" s="2" t="s">
        <v>32</v>
      </c>
      <c r="E208" s="9">
        <v>1290483.9620000001</v>
      </c>
      <c r="F208" s="9">
        <v>28814.67088802236</v>
      </c>
      <c r="G208" s="3">
        <v>2.232857729077486</v>
      </c>
      <c r="H208" s="3">
        <v>1.6979092409394832E-2</v>
      </c>
    </row>
    <row r="209" spans="1:8" ht="14.1" customHeight="1" x14ac:dyDescent="0.25">
      <c r="A209" s="2" t="s">
        <v>233</v>
      </c>
      <c r="B209" s="2" t="s">
        <v>777</v>
      </c>
      <c r="C209" s="2" t="s">
        <v>778</v>
      </c>
      <c r="D209" s="2" t="s">
        <v>7</v>
      </c>
      <c r="E209" s="9">
        <v>12714804.851</v>
      </c>
      <c r="F209" s="9">
        <v>6213178.0169713907</v>
      </c>
      <c r="G209" s="3">
        <v>48.865697034136822</v>
      </c>
      <c r="H209" s="3">
        <v>3.661125407822353</v>
      </c>
    </row>
    <row r="210" spans="1:8" ht="14.1" customHeight="1" x14ac:dyDescent="0.25">
      <c r="A210" s="2" t="s">
        <v>179</v>
      </c>
      <c r="B210" s="2" t="s">
        <v>779</v>
      </c>
      <c r="C210" s="2" t="s">
        <v>780</v>
      </c>
      <c r="D210" s="2" t="s">
        <v>32</v>
      </c>
      <c r="E210" s="9">
        <v>1791227.629</v>
      </c>
      <c r="F210" s="9">
        <v>904722.71316163254</v>
      </c>
      <c r="G210" s="3">
        <v>50.508528258171062</v>
      </c>
      <c r="H210" s="3">
        <v>0.53310935291768902</v>
      </c>
    </row>
    <row r="211" spans="1:8" ht="14.1" customHeight="1" x14ac:dyDescent="0.25">
      <c r="A211" s="2" t="s">
        <v>231</v>
      </c>
      <c r="B211" s="2" t="s">
        <v>781</v>
      </c>
      <c r="C211" s="2" t="s">
        <v>782</v>
      </c>
      <c r="D211" s="2" t="s">
        <v>7</v>
      </c>
      <c r="E211" s="9">
        <v>1172152.2490000001</v>
      </c>
      <c r="F211" s="9">
        <v>210894.9005775227</v>
      </c>
      <c r="G211" s="3">
        <v>17.99210817173655</v>
      </c>
      <c r="H211" s="3">
        <v>0.1242701684670067</v>
      </c>
    </row>
    <row r="212" spans="1:8" ht="14.1" customHeight="1" x14ac:dyDescent="0.25">
      <c r="A212" s="2" t="s">
        <v>241</v>
      </c>
      <c r="B212" s="2" t="s">
        <v>783</v>
      </c>
      <c r="C212" s="2" t="s">
        <v>784</v>
      </c>
      <c r="D212" s="2" t="s">
        <v>21</v>
      </c>
      <c r="E212" s="9">
        <v>2644171.199</v>
      </c>
      <c r="F212" s="9">
        <v>762707.98563798133</v>
      </c>
      <c r="G212" s="3">
        <v>28.84487910338143</v>
      </c>
      <c r="H212" s="3">
        <v>0.44942694018114732</v>
      </c>
    </row>
    <row r="213" spans="1:8" ht="14.1" customHeight="1" x14ac:dyDescent="0.25">
      <c r="A213" s="2" t="s">
        <v>171</v>
      </c>
      <c r="B213" s="2" t="s">
        <v>785</v>
      </c>
      <c r="C213" s="2" t="s">
        <v>786</v>
      </c>
      <c r="D213" s="2" t="s">
        <v>10</v>
      </c>
      <c r="E213" s="9">
        <v>941752.18700000003</v>
      </c>
      <c r="F213" s="9">
        <v>21153.294867203011</v>
      </c>
      <c r="G213" s="3">
        <v>2.246163604311652</v>
      </c>
      <c r="H213" s="3">
        <v>1.246461393604582E-2</v>
      </c>
    </row>
    <row r="214" spans="1:8" ht="14.1" customHeight="1" x14ac:dyDescent="0.25">
      <c r="A214" s="2" t="s">
        <v>171</v>
      </c>
      <c r="B214" s="2" t="s">
        <v>787</v>
      </c>
      <c r="C214" s="2" t="s">
        <v>788</v>
      </c>
      <c r="D214" s="2" t="s">
        <v>10</v>
      </c>
      <c r="E214" s="9">
        <v>521960.22200000001</v>
      </c>
      <c r="F214" s="9">
        <v>23198.537516485911</v>
      </c>
      <c r="G214" s="3">
        <v>4.4445029599374166</v>
      </c>
      <c r="H214" s="3">
        <v>1.366977654493908E-2</v>
      </c>
    </row>
    <row r="215" spans="1:8" ht="14.1" customHeight="1" x14ac:dyDescent="0.25">
      <c r="A215" s="2" t="s">
        <v>295</v>
      </c>
      <c r="B215" s="2" t="s">
        <v>789</v>
      </c>
      <c r="C215" s="2" t="s">
        <v>790</v>
      </c>
      <c r="D215" s="2" t="s">
        <v>10</v>
      </c>
      <c r="E215" s="9">
        <v>1908.9949999999999</v>
      </c>
      <c r="F215" s="9">
        <v>1272.291683459104</v>
      </c>
      <c r="G215" s="3">
        <v>66.647198314249351</v>
      </c>
      <c r="H215" s="3">
        <v>7.4969997572091936E-4</v>
      </c>
    </row>
    <row r="216" spans="1:8" ht="14.1" customHeight="1" x14ac:dyDescent="0.25">
      <c r="A216" s="2" t="s">
        <v>205</v>
      </c>
      <c r="B216" s="2" t="s">
        <v>791</v>
      </c>
      <c r="C216" s="2" t="s">
        <v>792</v>
      </c>
      <c r="D216" s="2" t="s">
        <v>10</v>
      </c>
      <c r="E216" s="9">
        <v>276572.97700000001</v>
      </c>
      <c r="F216" s="9">
        <v>58333.559261567862</v>
      </c>
      <c r="G216" s="3">
        <v>21.091561400652619</v>
      </c>
      <c r="H216" s="3">
        <v>3.4373146135178639E-2</v>
      </c>
    </row>
    <row r="217" spans="1:8" ht="14.1" customHeight="1" x14ac:dyDescent="0.25">
      <c r="A217" s="2" t="s">
        <v>274</v>
      </c>
      <c r="B217" s="2" t="s">
        <v>793</v>
      </c>
      <c r="C217" s="2" t="s">
        <v>794</v>
      </c>
      <c r="D217" s="2" t="s">
        <v>795</v>
      </c>
      <c r="E217" s="9">
        <v>2391719.142</v>
      </c>
      <c r="F217" s="9">
        <v>1335207.685878682</v>
      </c>
      <c r="G217" s="3">
        <v>55.826274182099681</v>
      </c>
      <c r="H217" s="3">
        <v>0.78677333405505079</v>
      </c>
    </row>
    <row r="218" spans="1:8" ht="14.1" customHeight="1" x14ac:dyDescent="0.25">
      <c r="A218" s="2" t="s">
        <v>279</v>
      </c>
      <c r="B218" s="2" t="s">
        <v>796</v>
      </c>
      <c r="C218" s="2" t="s">
        <v>797</v>
      </c>
      <c r="D218" s="2" t="s">
        <v>10</v>
      </c>
      <c r="E218" s="9">
        <v>3938809.037</v>
      </c>
      <c r="F218" s="9">
        <v>29498.345556046112</v>
      </c>
      <c r="G218" s="3">
        <v>0.7489153517966326</v>
      </c>
      <c r="H218" s="3">
        <v>1.738194883664498E-2</v>
      </c>
    </row>
    <row r="219" spans="1:8" ht="14.1" customHeight="1" x14ac:dyDescent="0.25">
      <c r="A219" s="2" t="s">
        <v>284</v>
      </c>
      <c r="B219" s="2" t="s">
        <v>798</v>
      </c>
      <c r="C219" s="2" t="s">
        <v>799</v>
      </c>
      <c r="D219" s="2" t="s">
        <v>39</v>
      </c>
      <c r="E219" s="9">
        <v>731655.88600000006</v>
      </c>
      <c r="F219" s="9">
        <v>30556.407923650298</v>
      </c>
      <c r="G219" s="3">
        <v>4.1763359672678559</v>
      </c>
      <c r="H219" s="3">
        <v>1.800541383418976E-2</v>
      </c>
    </row>
    <row r="220" spans="1:8" ht="14.1" customHeight="1" x14ac:dyDescent="0.25">
      <c r="A220" s="2" t="s">
        <v>353</v>
      </c>
      <c r="B220" s="2" t="s">
        <v>800</v>
      </c>
      <c r="C220" s="2" t="s">
        <v>801</v>
      </c>
      <c r="D220" s="2" t="s">
        <v>32</v>
      </c>
      <c r="E220" s="9">
        <v>112651.859</v>
      </c>
      <c r="F220" s="9">
        <v>63968.291689378319</v>
      </c>
      <c r="G220" s="3">
        <v>56.784053327853492</v>
      </c>
      <c r="H220" s="3">
        <v>3.7693421524260973E-2</v>
      </c>
    </row>
    <row r="221" spans="1:8" ht="14.1" customHeight="1" x14ac:dyDescent="0.25">
      <c r="A221" s="2" t="s">
        <v>235</v>
      </c>
      <c r="B221" s="2" t="s">
        <v>802</v>
      </c>
      <c r="C221" s="2" t="s">
        <v>803</v>
      </c>
      <c r="D221" s="2" t="s">
        <v>236</v>
      </c>
      <c r="E221" s="9">
        <v>25698395.159000002</v>
      </c>
      <c r="F221" s="9">
        <v>11937007.130778421</v>
      </c>
      <c r="G221" s="3">
        <v>46.450399166649468</v>
      </c>
      <c r="H221" s="3">
        <v>7.0339011662750393</v>
      </c>
    </row>
    <row r="222" spans="1:8" ht="14.1" customHeight="1" x14ac:dyDescent="0.25">
      <c r="A222" s="2" t="s">
        <v>277</v>
      </c>
      <c r="B222" s="2" t="s">
        <v>804</v>
      </c>
      <c r="C222" s="2" t="s">
        <v>805</v>
      </c>
      <c r="D222" s="2" t="s">
        <v>10</v>
      </c>
      <c r="E222" s="9">
        <v>153349.147</v>
      </c>
      <c r="F222" s="9">
        <v>116572.637655117</v>
      </c>
      <c r="G222" s="3">
        <v>76.017793340002726</v>
      </c>
      <c r="H222" s="3">
        <v>6.8690619262838176E-2</v>
      </c>
    </row>
    <row r="223" spans="1:8" ht="14.1" customHeight="1" x14ac:dyDescent="0.25">
      <c r="A223" s="2" t="s">
        <v>277</v>
      </c>
      <c r="B223" s="2" t="s">
        <v>806</v>
      </c>
      <c r="C223" s="2" t="s">
        <v>807</v>
      </c>
      <c r="D223" s="2" t="s">
        <v>10</v>
      </c>
      <c r="E223" s="9">
        <v>729170.48600000003</v>
      </c>
      <c r="F223" s="9">
        <v>108951.9233052998</v>
      </c>
      <c r="G223" s="3">
        <v>14.94189978848099</v>
      </c>
      <c r="H223" s="3">
        <v>6.420010074628163E-2</v>
      </c>
    </row>
    <row r="224" spans="1:8" ht="14.1" customHeight="1" x14ac:dyDescent="0.25">
      <c r="A224" s="2" t="s">
        <v>323</v>
      </c>
      <c r="B224" s="2" t="s">
        <v>808</v>
      </c>
      <c r="C224" s="2" t="s">
        <v>809</v>
      </c>
      <c r="D224" s="2" t="s">
        <v>12</v>
      </c>
      <c r="E224" s="9">
        <v>12400.066999999999</v>
      </c>
      <c r="F224" s="9">
        <v>0</v>
      </c>
      <c r="G224" s="3">
        <v>0</v>
      </c>
      <c r="H224" s="3">
        <v>0</v>
      </c>
    </row>
    <row r="225" spans="1:8" ht="14.1" customHeight="1" x14ac:dyDescent="0.25">
      <c r="A225" s="2" t="s">
        <v>319</v>
      </c>
      <c r="B225" s="2" t="s">
        <v>810</v>
      </c>
      <c r="C225" s="2" t="s">
        <v>811</v>
      </c>
      <c r="D225" s="2" t="s">
        <v>39</v>
      </c>
      <c r="E225" s="9">
        <v>693281.97100000002</v>
      </c>
      <c r="F225" s="9">
        <v>23145.40310066866</v>
      </c>
      <c r="G225" s="3">
        <v>3.338526612380154</v>
      </c>
      <c r="H225" s="3">
        <v>1.3638467002665069E-2</v>
      </c>
    </row>
    <row r="226" spans="1:8" ht="14.1" customHeight="1" x14ac:dyDescent="0.25">
      <c r="A226" s="2" t="s">
        <v>160</v>
      </c>
      <c r="B226" s="2" t="s">
        <v>812</v>
      </c>
      <c r="C226" s="2" t="s">
        <v>813</v>
      </c>
      <c r="D226" s="2" t="s">
        <v>21</v>
      </c>
      <c r="E226" s="9">
        <v>1267401.196</v>
      </c>
      <c r="F226" s="9">
        <v>763111.34016042098</v>
      </c>
      <c r="G226" s="3">
        <v>60.210716430507539</v>
      </c>
      <c r="H226" s="3">
        <v>0.44966461749965148</v>
      </c>
    </row>
    <row r="227" spans="1:8" ht="14.1" customHeight="1" x14ac:dyDescent="0.25">
      <c r="A227" s="2" t="s">
        <v>187</v>
      </c>
      <c r="B227" s="2" t="s">
        <v>814</v>
      </c>
      <c r="C227" s="2" t="s">
        <v>815</v>
      </c>
      <c r="D227" s="2" t="s">
        <v>32</v>
      </c>
      <c r="E227" s="9">
        <v>67884.884999999995</v>
      </c>
      <c r="F227" s="9">
        <v>13979.962462161189</v>
      </c>
      <c r="G227" s="3">
        <v>20.593630617715839</v>
      </c>
      <c r="H227" s="3">
        <v>8.2377159693180491E-3</v>
      </c>
    </row>
    <row r="228" spans="1:8" ht="14.1" customHeight="1" x14ac:dyDescent="0.25">
      <c r="A228" s="2" t="s">
        <v>158</v>
      </c>
      <c r="B228" s="2" t="s">
        <v>816</v>
      </c>
      <c r="C228" s="2" t="s">
        <v>817</v>
      </c>
      <c r="D228" s="2" t="s">
        <v>21</v>
      </c>
      <c r="E228" s="9">
        <v>1741375.6310000001</v>
      </c>
      <c r="F228" s="9">
        <v>763767.42262189463</v>
      </c>
      <c r="G228" s="3">
        <v>43.860004069500761</v>
      </c>
      <c r="H228" s="3">
        <v>0.4500512151736224</v>
      </c>
    </row>
    <row r="229" spans="1:8" ht="14.1" customHeight="1" x14ac:dyDescent="0.25">
      <c r="A229" s="2" t="s">
        <v>189</v>
      </c>
      <c r="B229" s="2" t="s">
        <v>818</v>
      </c>
      <c r="C229" s="2" t="s">
        <v>819</v>
      </c>
      <c r="D229" s="2" t="s">
        <v>820</v>
      </c>
      <c r="E229" s="9">
        <v>9214685.3479999993</v>
      </c>
      <c r="F229" s="9">
        <v>7776405.4874755647</v>
      </c>
      <c r="G229" s="3">
        <v>84.391438164119123</v>
      </c>
      <c r="H229" s="3">
        <v>4.5822597765521351</v>
      </c>
    </row>
    <row r="230" spans="1:8" ht="14.1" customHeight="1" x14ac:dyDescent="0.25">
      <c r="A230" s="2" t="s">
        <v>238</v>
      </c>
      <c r="B230" s="2" t="s">
        <v>821</v>
      </c>
      <c r="C230" s="2" t="s">
        <v>822</v>
      </c>
      <c r="D230" s="2" t="s">
        <v>239</v>
      </c>
      <c r="E230" s="9">
        <v>11460762.356000001</v>
      </c>
      <c r="F230" s="9">
        <v>6456734.8587066559</v>
      </c>
      <c r="G230" s="3">
        <v>56.337743146086538</v>
      </c>
      <c r="H230" s="3">
        <v>3.8046416790591149</v>
      </c>
    </row>
    <row r="231" spans="1:8" ht="14.1" customHeight="1" x14ac:dyDescent="0.25">
      <c r="A231" s="2" t="s">
        <v>197</v>
      </c>
      <c r="B231" s="2" t="s">
        <v>823</v>
      </c>
      <c r="C231" s="2" t="s">
        <v>824</v>
      </c>
      <c r="D231" s="2" t="s">
        <v>7</v>
      </c>
      <c r="E231" s="9">
        <v>1843124.821</v>
      </c>
      <c r="F231" s="9">
        <v>1440722.805307046</v>
      </c>
      <c r="G231" s="3">
        <v>78.167402928542401</v>
      </c>
      <c r="H231" s="3">
        <v>0.84894829244082348</v>
      </c>
    </row>
    <row r="232" spans="1:8" ht="14.1" customHeight="1" x14ac:dyDescent="0.25">
      <c r="A232" s="2" t="s">
        <v>169</v>
      </c>
      <c r="B232" s="2" t="s">
        <v>825</v>
      </c>
      <c r="C232" s="2" t="s">
        <v>826</v>
      </c>
      <c r="D232" s="2" t="s">
        <v>32</v>
      </c>
      <c r="E232" s="9">
        <v>1250610.642</v>
      </c>
      <c r="F232" s="9">
        <v>41829.691738258181</v>
      </c>
      <c r="G232" s="3">
        <v>3.3447413874044249</v>
      </c>
      <c r="H232" s="3">
        <v>2.4648214940244641E-2</v>
      </c>
    </row>
    <row r="233" spans="1:8" ht="14.1" customHeight="1" x14ac:dyDescent="0.25">
      <c r="A233" s="2" t="s">
        <v>243</v>
      </c>
      <c r="B233" s="2" t="s">
        <v>827</v>
      </c>
      <c r="C233" s="2" t="s">
        <v>828</v>
      </c>
      <c r="D233" s="2" t="s">
        <v>266</v>
      </c>
      <c r="E233" s="9">
        <v>9330937.7870000005</v>
      </c>
      <c r="F233" s="9">
        <v>2513971.9136474719</v>
      </c>
      <c r="G233" s="3">
        <v>26.94232853154347</v>
      </c>
      <c r="H233" s="3">
        <v>1.4813621020459691</v>
      </c>
    </row>
    <row r="234" spans="1:8" ht="14.1" customHeight="1" x14ac:dyDescent="0.25">
      <c r="A234" s="2" t="s">
        <v>261</v>
      </c>
      <c r="B234" s="2" t="s">
        <v>829</v>
      </c>
      <c r="C234" s="2" t="s">
        <v>830</v>
      </c>
      <c r="D234" s="2" t="s">
        <v>21</v>
      </c>
      <c r="E234" s="9">
        <v>1483958.9990000001</v>
      </c>
      <c r="F234" s="9">
        <v>399025.16730634158</v>
      </c>
      <c r="G234" s="3">
        <v>26.889231277631922</v>
      </c>
      <c r="H234" s="3">
        <v>0.23512623884192491</v>
      </c>
    </row>
    <row r="235" spans="1:8" ht="14.1" customHeight="1" x14ac:dyDescent="0.25">
      <c r="A235" s="2" t="s">
        <v>235</v>
      </c>
      <c r="B235" s="2" t="s">
        <v>831</v>
      </c>
      <c r="C235" s="2" t="s">
        <v>832</v>
      </c>
      <c r="D235" s="2" t="s">
        <v>7</v>
      </c>
      <c r="E235" s="9">
        <v>12316754.346999999</v>
      </c>
      <c r="F235" s="9">
        <v>4759030.6574593335</v>
      </c>
      <c r="G235" s="3">
        <v>38.63867479518656</v>
      </c>
      <c r="H235" s="3">
        <v>2.8042666746450182</v>
      </c>
    </row>
    <row r="236" spans="1:8" ht="14.1" customHeight="1" x14ac:dyDescent="0.25">
      <c r="A236" s="2" t="s">
        <v>205</v>
      </c>
      <c r="B236" s="2" t="s">
        <v>833</v>
      </c>
      <c r="C236" s="2" t="s">
        <v>834</v>
      </c>
      <c r="D236" s="2" t="s">
        <v>10</v>
      </c>
      <c r="E236" s="9">
        <v>653934.86800000002</v>
      </c>
      <c r="F236" s="9">
        <v>44014.685777864637</v>
      </c>
      <c r="G236" s="3">
        <v>6.7307445942559276</v>
      </c>
      <c r="H236" s="3">
        <v>2.5935726286691298E-2</v>
      </c>
    </row>
    <row r="237" spans="1:8" ht="14.1" customHeight="1" x14ac:dyDescent="0.25">
      <c r="A237" s="2" t="s">
        <v>165</v>
      </c>
      <c r="B237" s="2" t="s">
        <v>835</v>
      </c>
      <c r="C237" s="2" t="s">
        <v>836</v>
      </c>
      <c r="D237" s="2" t="s">
        <v>7</v>
      </c>
      <c r="E237" s="9">
        <v>6524174.9069999997</v>
      </c>
      <c r="F237" s="9">
        <v>348339.06009256339</v>
      </c>
      <c r="G237" s="3">
        <v>5.339204804561863</v>
      </c>
      <c r="H237" s="3">
        <v>0.2052593664559916</v>
      </c>
    </row>
    <row r="238" spans="1:8" ht="14.1" customHeight="1" x14ac:dyDescent="0.25">
      <c r="A238" s="2" t="s">
        <v>289</v>
      </c>
      <c r="B238" s="2" t="s">
        <v>837</v>
      </c>
      <c r="C238" s="2" t="s">
        <v>838</v>
      </c>
      <c r="D238" s="2" t="s">
        <v>7</v>
      </c>
      <c r="E238" s="9">
        <v>5970915.4129999997</v>
      </c>
      <c r="F238" s="9">
        <v>3611665.2733769328</v>
      </c>
      <c r="G238" s="3">
        <v>60.487630849928657</v>
      </c>
      <c r="H238" s="3">
        <v>2.1281797271528009</v>
      </c>
    </row>
    <row r="239" spans="1:8" ht="14.1" customHeight="1" x14ac:dyDescent="0.25">
      <c r="A239" s="2" t="s">
        <v>246</v>
      </c>
      <c r="B239" s="2" t="s">
        <v>839</v>
      </c>
      <c r="C239" s="2" t="s">
        <v>840</v>
      </c>
      <c r="D239" s="2" t="s">
        <v>32</v>
      </c>
      <c r="E239" s="9">
        <v>5262816.1050000004</v>
      </c>
      <c r="F239" s="9">
        <v>527426.03989141027</v>
      </c>
      <c r="G239" s="3">
        <v>10.02174557059524</v>
      </c>
      <c r="H239" s="3">
        <v>0.31078666507205921</v>
      </c>
    </row>
    <row r="240" spans="1:8" ht="14.1" customHeight="1" x14ac:dyDescent="0.25">
      <c r="A240" s="2" t="s">
        <v>312</v>
      </c>
      <c r="B240" s="2" t="s">
        <v>841</v>
      </c>
      <c r="C240" s="2" t="s">
        <v>842</v>
      </c>
      <c r="D240" s="2" t="s">
        <v>163</v>
      </c>
      <c r="E240" s="9">
        <v>1267542.554</v>
      </c>
      <c r="F240" s="9">
        <v>106029.4020453687</v>
      </c>
      <c r="G240" s="3">
        <v>8.3649579819446966</v>
      </c>
      <c r="H240" s="3">
        <v>6.247800026720176E-2</v>
      </c>
    </row>
    <row r="241" spans="1:8" ht="14.1" customHeight="1" x14ac:dyDescent="0.25">
      <c r="A241" s="2" t="s">
        <v>171</v>
      </c>
      <c r="B241" s="2" t="s">
        <v>843</v>
      </c>
      <c r="C241" s="2" t="s">
        <v>844</v>
      </c>
      <c r="D241" s="2" t="s">
        <v>32</v>
      </c>
      <c r="E241" s="9">
        <v>765231.42</v>
      </c>
      <c r="F241" s="9">
        <v>557.96624369167557</v>
      </c>
      <c r="G241" s="3">
        <v>7.2914706467708229E-2</v>
      </c>
      <c r="H241" s="3">
        <v>3.2878253059978249E-4</v>
      </c>
    </row>
    <row r="242" spans="1:8" ht="14.1" customHeight="1" x14ac:dyDescent="0.25">
      <c r="A242" s="2" t="s">
        <v>171</v>
      </c>
      <c r="B242" s="2" t="s">
        <v>845</v>
      </c>
      <c r="C242" s="2" t="s">
        <v>846</v>
      </c>
      <c r="D242" s="2" t="s">
        <v>32</v>
      </c>
      <c r="E242" s="9">
        <v>750660.55099999998</v>
      </c>
      <c r="F242" s="9">
        <v>9331.3180440244541</v>
      </c>
      <c r="G242" s="3">
        <v>1.2430809147481701</v>
      </c>
      <c r="H242" s="3">
        <v>5.4984945685013402E-3</v>
      </c>
    </row>
    <row r="243" spans="1:8" ht="14.1" customHeight="1" x14ac:dyDescent="0.25">
      <c r="A243" s="2" t="s">
        <v>174</v>
      </c>
      <c r="B243" s="2" t="s">
        <v>847</v>
      </c>
      <c r="C243" s="2" t="s">
        <v>848</v>
      </c>
      <c r="D243" s="2" t="s">
        <v>10</v>
      </c>
      <c r="E243" s="9">
        <v>630693.93400000001</v>
      </c>
      <c r="F243" s="9">
        <v>124368.40935452491</v>
      </c>
      <c r="G243" s="3">
        <v>19.719296896634631</v>
      </c>
      <c r="H243" s="3">
        <v>7.3284290611755509E-2</v>
      </c>
    </row>
    <row r="244" spans="1:8" ht="14.1" customHeight="1" x14ac:dyDescent="0.25">
      <c r="A244" s="2" t="s">
        <v>287</v>
      </c>
      <c r="B244" s="2" t="s">
        <v>849</v>
      </c>
      <c r="C244" s="2" t="s">
        <v>850</v>
      </c>
      <c r="D244" s="2" t="s">
        <v>10</v>
      </c>
      <c r="E244" s="9">
        <v>117460.933</v>
      </c>
      <c r="F244" s="9">
        <v>6860.3353019655133</v>
      </c>
      <c r="G244" s="3">
        <v>5.8405251233322932</v>
      </c>
      <c r="H244" s="3">
        <v>4.0424639068123184E-3</v>
      </c>
    </row>
    <row r="245" spans="1:8" ht="14.1" customHeight="1" x14ac:dyDescent="0.25">
      <c r="A245" s="2" t="s">
        <v>314</v>
      </c>
      <c r="B245" s="2" t="s">
        <v>851</v>
      </c>
      <c r="C245" s="2" t="s">
        <v>852</v>
      </c>
      <c r="D245" s="2" t="s">
        <v>32</v>
      </c>
      <c r="E245" s="9">
        <v>784968.84299999999</v>
      </c>
      <c r="F245" s="9">
        <v>31139.4883673394</v>
      </c>
      <c r="G245" s="3">
        <v>3.9669712556144598</v>
      </c>
      <c r="H245" s="3">
        <v>1.8348994948615169E-2</v>
      </c>
    </row>
    <row r="246" spans="1:8" ht="14.1" customHeight="1" x14ac:dyDescent="0.25">
      <c r="A246" s="2" t="s">
        <v>327</v>
      </c>
      <c r="B246" s="2" t="s">
        <v>853</v>
      </c>
      <c r="C246" s="2" t="s">
        <v>854</v>
      </c>
      <c r="D246" s="2" t="s">
        <v>10</v>
      </c>
      <c r="E246" s="9">
        <v>96902.653999999995</v>
      </c>
      <c r="F246" s="9">
        <v>16511.412479396571</v>
      </c>
      <c r="G246" s="3">
        <v>17.039174674613729</v>
      </c>
      <c r="H246" s="3">
        <v>9.7293770727690104E-3</v>
      </c>
    </row>
    <row r="247" spans="1:8" ht="14.1" customHeight="1" x14ac:dyDescent="0.25">
      <c r="A247" s="2" t="s">
        <v>177</v>
      </c>
      <c r="B247" s="2" t="s">
        <v>855</v>
      </c>
      <c r="C247" s="2" t="s">
        <v>856</v>
      </c>
      <c r="D247" s="2" t="s">
        <v>21</v>
      </c>
      <c r="E247" s="9">
        <v>390980.68</v>
      </c>
      <c r="F247" s="9">
        <v>0</v>
      </c>
      <c r="G247" s="3">
        <v>0</v>
      </c>
      <c r="H247" s="3">
        <v>0</v>
      </c>
    </row>
    <row r="248" spans="1:8" ht="14.1" customHeight="1" x14ac:dyDescent="0.25">
      <c r="A248" s="2" t="s">
        <v>185</v>
      </c>
      <c r="B248" s="2" t="s">
        <v>857</v>
      </c>
      <c r="C248" s="2" t="s">
        <v>858</v>
      </c>
      <c r="D248" s="2" t="s">
        <v>7</v>
      </c>
      <c r="E248" s="9">
        <v>953660.52500000002</v>
      </c>
      <c r="F248" s="9">
        <v>79814.850295976532</v>
      </c>
      <c r="G248" s="3">
        <v>8.3693146778804266</v>
      </c>
      <c r="H248" s="3">
        <v>4.7031032354449713E-2</v>
      </c>
    </row>
    <row r="249" spans="1:8" ht="14.1" customHeight="1" x14ac:dyDescent="0.25">
      <c r="A249" s="2" t="s">
        <v>317</v>
      </c>
      <c r="B249" s="2" t="s">
        <v>859</v>
      </c>
      <c r="C249" s="2" t="s">
        <v>860</v>
      </c>
      <c r="D249" s="2" t="s">
        <v>39</v>
      </c>
      <c r="E249" s="9">
        <v>84193.678</v>
      </c>
      <c r="F249" s="9">
        <v>2533.6835161169929</v>
      </c>
      <c r="G249" s="3">
        <v>3.0093512675821019</v>
      </c>
      <c r="H249" s="3">
        <v>1.492977196355666E-3</v>
      </c>
    </row>
    <row r="250" spans="1:8" ht="14.1" customHeight="1" x14ac:dyDescent="0.25">
      <c r="A250" s="2" t="s">
        <v>268</v>
      </c>
      <c r="B250" s="2" t="s">
        <v>861</v>
      </c>
      <c r="C250" s="2" t="s">
        <v>862</v>
      </c>
      <c r="D250" s="2" t="s">
        <v>32</v>
      </c>
      <c r="E250" s="9">
        <v>4641851.358</v>
      </c>
      <c r="F250" s="9">
        <v>196809.43795539351</v>
      </c>
      <c r="G250" s="3">
        <v>4.2398909998744836</v>
      </c>
      <c r="H250" s="3">
        <v>0.1159702863541897</v>
      </c>
    </row>
    <row r="251" spans="1:8" ht="14.1" customHeight="1" x14ac:dyDescent="0.25">
      <c r="A251" s="2" t="s">
        <v>222</v>
      </c>
      <c r="B251" s="2" t="s">
        <v>863</v>
      </c>
      <c r="C251" s="2" t="s">
        <v>864</v>
      </c>
      <c r="D251" s="2" t="s">
        <v>39</v>
      </c>
      <c r="E251" s="9">
        <v>300580.33199999999</v>
      </c>
      <c r="F251" s="9">
        <v>17169.873704698639</v>
      </c>
      <c r="G251" s="3">
        <v>5.7122412469418133</v>
      </c>
      <c r="H251" s="3">
        <v>1.011737643725436E-2</v>
      </c>
    </row>
    <row r="252" spans="1:8" ht="14.1" customHeight="1" x14ac:dyDescent="0.25">
      <c r="A252" s="2" t="s">
        <v>171</v>
      </c>
      <c r="B252" s="2" t="s">
        <v>865</v>
      </c>
      <c r="C252" s="2" t="s">
        <v>866</v>
      </c>
      <c r="D252" s="2" t="s">
        <v>32</v>
      </c>
      <c r="E252" s="9">
        <v>1275969.936</v>
      </c>
      <c r="F252" s="9">
        <v>19286.531020900791</v>
      </c>
      <c r="G252" s="3">
        <v>1.5115192354266249</v>
      </c>
      <c r="H252" s="3">
        <v>1.1364620256574091E-2</v>
      </c>
    </row>
    <row r="253" spans="1:8" ht="14.1" customHeight="1" x14ac:dyDescent="0.25">
      <c r="A253" s="2" t="s">
        <v>277</v>
      </c>
      <c r="B253" s="2" t="s">
        <v>867</v>
      </c>
      <c r="C253" s="2" t="s">
        <v>868</v>
      </c>
      <c r="D253" s="2" t="s">
        <v>10</v>
      </c>
      <c r="E253" s="9">
        <v>400915.603</v>
      </c>
      <c r="F253" s="9">
        <v>81276.603859563314</v>
      </c>
      <c r="G253" s="3">
        <v>20.272746496115619</v>
      </c>
      <c r="H253" s="3">
        <v>4.7892373055940053E-2</v>
      </c>
    </row>
    <row r="254" spans="1:8" ht="14.1" customHeight="1" x14ac:dyDescent="0.25">
      <c r="A254" s="2" t="s">
        <v>158</v>
      </c>
      <c r="B254" s="2" t="s">
        <v>869</v>
      </c>
      <c r="C254" s="2" t="s">
        <v>870</v>
      </c>
      <c r="D254" s="2" t="s">
        <v>21</v>
      </c>
      <c r="E254" s="9">
        <v>113179.564</v>
      </c>
      <c r="F254" s="9">
        <v>0</v>
      </c>
      <c r="G254" s="3">
        <v>0</v>
      </c>
      <c r="H254" s="3">
        <v>0</v>
      </c>
    </row>
    <row r="255" spans="1:8" ht="14.1" customHeight="1" x14ac:dyDescent="0.25">
      <c r="A255" s="2" t="s">
        <v>319</v>
      </c>
      <c r="B255" s="2" t="s">
        <v>871</v>
      </c>
      <c r="C255" s="2" t="s">
        <v>872</v>
      </c>
      <c r="D255" s="2" t="s">
        <v>39</v>
      </c>
      <c r="E255" s="9">
        <v>2910385.105</v>
      </c>
      <c r="F255" s="9">
        <v>63844.634767913427</v>
      </c>
      <c r="G255" s="3">
        <v>2.1936833946211882</v>
      </c>
      <c r="H255" s="3">
        <v>3.7620556479063233E-2</v>
      </c>
    </row>
    <row r="256" spans="1:8" ht="14.1" customHeight="1" x14ac:dyDescent="0.25">
      <c r="A256" s="2" t="s">
        <v>302</v>
      </c>
      <c r="B256" s="2" t="s">
        <v>873</v>
      </c>
      <c r="C256" s="2" t="s">
        <v>874</v>
      </c>
      <c r="D256" s="2" t="s">
        <v>280</v>
      </c>
      <c r="E256" s="9">
        <v>1952237.807</v>
      </c>
      <c r="F256" s="9">
        <v>114648.6647682287</v>
      </c>
      <c r="G256" s="3">
        <v>5.8726792584971532</v>
      </c>
      <c r="H256" s="3">
        <v>6.7556915061717973E-2</v>
      </c>
    </row>
    <row r="257" spans="1:8" ht="14.1" customHeight="1" x14ac:dyDescent="0.25">
      <c r="A257" s="2" t="s">
        <v>274</v>
      </c>
      <c r="B257" s="2" t="s">
        <v>875</v>
      </c>
      <c r="C257" s="2" t="s">
        <v>876</v>
      </c>
      <c r="D257" s="2" t="s">
        <v>39</v>
      </c>
      <c r="E257" s="9">
        <v>249190.77299999999</v>
      </c>
      <c r="F257" s="9">
        <v>42923.568291414929</v>
      </c>
      <c r="G257" s="3">
        <v>17.225183651328429</v>
      </c>
      <c r="H257" s="3">
        <v>2.529278350577489E-2</v>
      </c>
    </row>
    <row r="258" spans="1:8" ht="14.1" customHeight="1" x14ac:dyDescent="0.25">
      <c r="A258" s="2" t="s">
        <v>274</v>
      </c>
      <c r="B258" s="2" t="s">
        <v>877</v>
      </c>
      <c r="C258" s="2" t="s">
        <v>878</v>
      </c>
      <c r="D258" s="2" t="s">
        <v>285</v>
      </c>
      <c r="E258" s="9">
        <v>5037583.2960000001</v>
      </c>
      <c r="F258" s="9">
        <v>574563.93904496764</v>
      </c>
      <c r="G258" s="3">
        <v>11.405547169834181</v>
      </c>
      <c r="H258" s="3">
        <v>0.33856274999849417</v>
      </c>
    </row>
    <row r="259" spans="1:8" ht="14.1" customHeight="1" x14ac:dyDescent="0.25">
      <c r="A259" s="2" t="s">
        <v>302</v>
      </c>
      <c r="B259" s="2" t="s">
        <v>879</v>
      </c>
      <c r="C259" s="2" t="s">
        <v>880</v>
      </c>
      <c r="D259" s="2" t="s">
        <v>275</v>
      </c>
      <c r="E259" s="9">
        <v>375266.40500000003</v>
      </c>
      <c r="F259" s="9">
        <v>132434.295546893</v>
      </c>
      <c r="G259" s="3">
        <v>35.290741132794182</v>
      </c>
      <c r="H259" s="3">
        <v>7.8037127371755041E-2</v>
      </c>
    </row>
    <row r="260" spans="1:8" ht="14.1" customHeight="1" x14ac:dyDescent="0.25">
      <c r="A260" s="2" t="s">
        <v>312</v>
      </c>
      <c r="B260" s="2" t="s">
        <v>881</v>
      </c>
      <c r="C260" s="2" t="s">
        <v>882</v>
      </c>
      <c r="D260" s="2" t="s">
        <v>883</v>
      </c>
      <c r="E260" s="9">
        <v>630453.52899999998</v>
      </c>
      <c r="F260" s="9">
        <v>65714.46198208959</v>
      </c>
      <c r="G260" s="3">
        <v>10.423363334379809</v>
      </c>
      <c r="H260" s="3">
        <v>3.8722355253113953E-2</v>
      </c>
    </row>
    <row r="261" spans="1:8" ht="14.1" customHeight="1" x14ac:dyDescent="0.25">
      <c r="A261" s="2" t="s">
        <v>302</v>
      </c>
      <c r="B261" s="2" t="s">
        <v>884</v>
      </c>
      <c r="C261" s="2" t="s">
        <v>885</v>
      </c>
      <c r="D261" s="2" t="s">
        <v>10</v>
      </c>
      <c r="E261" s="9">
        <v>2946812.7370000002</v>
      </c>
      <c r="F261" s="9">
        <v>125380.3448479231</v>
      </c>
      <c r="G261" s="3">
        <v>4.2547781633238886</v>
      </c>
      <c r="H261" s="3">
        <v>7.3880575272493976E-2</v>
      </c>
    </row>
    <row r="262" spans="1:8" ht="14.1" customHeight="1" x14ac:dyDescent="0.25">
      <c r="A262" s="2" t="s">
        <v>229</v>
      </c>
      <c r="B262" s="2" t="s">
        <v>886</v>
      </c>
      <c r="C262" s="2" t="s">
        <v>887</v>
      </c>
      <c r="D262" s="2" t="s">
        <v>39</v>
      </c>
      <c r="E262" s="9">
        <v>1088767.493</v>
      </c>
      <c r="F262" s="9">
        <v>113614.2664598725</v>
      </c>
      <c r="G262" s="3">
        <v>10.435126617053809</v>
      </c>
      <c r="H262" s="3">
        <v>6.6947394150167233E-2</v>
      </c>
    </row>
    <row r="263" spans="1:8" ht="14.1" customHeight="1" x14ac:dyDescent="0.25">
      <c r="A263" s="2" t="s">
        <v>282</v>
      </c>
      <c r="B263" s="2" t="s">
        <v>888</v>
      </c>
      <c r="C263" s="2" t="s">
        <v>889</v>
      </c>
      <c r="D263" s="2" t="s">
        <v>315</v>
      </c>
      <c r="E263" s="9">
        <v>962253.91799999995</v>
      </c>
      <c r="F263" s="9">
        <v>32709.795640340701</v>
      </c>
      <c r="G263" s="3">
        <v>3.399289421271102</v>
      </c>
      <c r="H263" s="3">
        <v>1.9274301102658979E-2</v>
      </c>
    </row>
    <row r="264" spans="1:8" ht="14.1" customHeight="1" x14ac:dyDescent="0.25">
      <c r="A264" s="2" t="s">
        <v>171</v>
      </c>
      <c r="B264" s="2" t="s">
        <v>890</v>
      </c>
      <c r="C264" s="2" t="s">
        <v>891</v>
      </c>
      <c r="D264" s="2" t="s">
        <v>10</v>
      </c>
      <c r="E264" s="9">
        <v>303753.652</v>
      </c>
      <c r="F264" s="9">
        <v>34805.325718012653</v>
      </c>
      <c r="G264" s="3">
        <v>11.45840568132911</v>
      </c>
      <c r="H264" s="3">
        <v>2.0509095661782269E-2</v>
      </c>
    </row>
    <row r="265" spans="1:8" ht="14.1" customHeight="1" x14ac:dyDescent="0.25">
      <c r="A265" s="2" t="s">
        <v>270</v>
      </c>
      <c r="B265" s="2" t="s">
        <v>892</v>
      </c>
      <c r="C265" s="2" t="s">
        <v>893</v>
      </c>
      <c r="D265" s="2" t="s">
        <v>172</v>
      </c>
      <c r="E265" s="9">
        <v>1898730.581</v>
      </c>
      <c r="F265" s="9">
        <v>94007.499100451314</v>
      </c>
      <c r="G265" s="3">
        <v>4.9510709966519109</v>
      </c>
      <c r="H265" s="3">
        <v>5.5394074102236388E-2</v>
      </c>
    </row>
    <row r="266" spans="1:8" ht="14.1" customHeight="1" x14ac:dyDescent="0.25">
      <c r="A266" s="2" t="s">
        <v>169</v>
      </c>
      <c r="B266" s="2" t="s">
        <v>894</v>
      </c>
      <c r="C266" s="2" t="s">
        <v>895</v>
      </c>
      <c r="D266" s="2" t="s">
        <v>32</v>
      </c>
      <c r="E266" s="9">
        <v>449269.06900000002</v>
      </c>
      <c r="F266" s="9">
        <v>0</v>
      </c>
      <c r="G266" s="3">
        <v>0</v>
      </c>
      <c r="H266" s="3">
        <v>0</v>
      </c>
    </row>
    <row r="267" spans="1:8" ht="14.1" customHeight="1" x14ac:dyDescent="0.25">
      <c r="A267" s="2" t="s">
        <v>321</v>
      </c>
      <c r="B267" s="2" t="s">
        <v>896</v>
      </c>
      <c r="C267" s="2" t="s">
        <v>897</v>
      </c>
      <c r="D267" s="2" t="s">
        <v>21</v>
      </c>
      <c r="E267" s="9">
        <v>4333835.642</v>
      </c>
      <c r="F267" s="9">
        <v>11716.57013616519</v>
      </c>
      <c r="G267" s="3">
        <v>0.27035104937108723</v>
      </c>
      <c r="H267" s="3">
        <v>6.9040083031383257E-3</v>
      </c>
    </row>
    <row r="268" spans="1:8" ht="14.1" customHeight="1" x14ac:dyDescent="0.25">
      <c r="A268" s="2" t="s">
        <v>158</v>
      </c>
      <c r="B268" s="2" t="s">
        <v>898</v>
      </c>
      <c r="C268" s="2" t="s">
        <v>899</v>
      </c>
      <c r="D268" s="2" t="s">
        <v>21</v>
      </c>
      <c r="E268" s="9">
        <v>1159658.692</v>
      </c>
      <c r="F268" s="9">
        <v>731556.47822996764</v>
      </c>
      <c r="G268" s="3">
        <v>63.083774844846133</v>
      </c>
      <c r="H268" s="3">
        <v>0.43107086299296482</v>
      </c>
    </row>
    <row r="269" spans="1:8" ht="14.1" customHeight="1" x14ac:dyDescent="0.25">
      <c r="A269" s="2" t="s">
        <v>243</v>
      </c>
      <c r="B269" s="2" t="s">
        <v>900</v>
      </c>
      <c r="C269" s="2" t="s">
        <v>901</v>
      </c>
      <c r="D269" s="2" t="s">
        <v>21</v>
      </c>
      <c r="E269" s="9">
        <v>2516971.199</v>
      </c>
      <c r="F269" s="9">
        <v>373378.93903306738</v>
      </c>
      <c r="G269" s="3">
        <v>14.834454171800299</v>
      </c>
      <c r="H269" s="3">
        <v>0.2200141564760853</v>
      </c>
    </row>
    <row r="270" spans="1:8" ht="14.1" customHeight="1" x14ac:dyDescent="0.25">
      <c r="A270" s="2" t="s">
        <v>287</v>
      </c>
      <c r="B270" s="2" t="s">
        <v>902</v>
      </c>
      <c r="C270" s="2" t="s">
        <v>903</v>
      </c>
      <c r="D270" s="2" t="s">
        <v>10</v>
      </c>
      <c r="E270" s="9">
        <v>113767.144</v>
      </c>
      <c r="F270" s="9">
        <v>4634.5334445060562</v>
      </c>
      <c r="G270" s="3">
        <v>4.0737011421382396</v>
      </c>
      <c r="H270" s="3">
        <v>2.730906486299972E-3</v>
      </c>
    </row>
    <row r="271" spans="1:8" ht="14.1" customHeight="1" x14ac:dyDescent="0.25">
      <c r="A271" s="2" t="s">
        <v>192</v>
      </c>
      <c r="B271" s="2" t="s">
        <v>904</v>
      </c>
      <c r="C271" s="2" t="s">
        <v>905</v>
      </c>
      <c r="D271" s="2" t="s">
        <v>32</v>
      </c>
      <c r="E271" s="9">
        <v>1798759.355</v>
      </c>
      <c r="F271" s="9">
        <v>13936.064441646309</v>
      </c>
      <c r="G271" s="3">
        <v>0.77475980335603634</v>
      </c>
      <c r="H271" s="3">
        <v>8.2118489882302484E-3</v>
      </c>
    </row>
    <row r="272" spans="1:8" ht="14.1" customHeight="1" x14ac:dyDescent="0.25">
      <c r="A272" s="2" t="s">
        <v>295</v>
      </c>
      <c r="B272" s="2" t="s">
        <v>906</v>
      </c>
      <c r="C272" s="2" t="s">
        <v>907</v>
      </c>
      <c r="D272" s="2" t="s">
        <v>12</v>
      </c>
      <c r="E272" s="9">
        <v>3907.5239999999999</v>
      </c>
      <c r="F272" s="9">
        <v>685.83343950309745</v>
      </c>
      <c r="G272" s="3">
        <v>17.551611698433518</v>
      </c>
      <c r="H272" s="3">
        <v>4.04128486909656E-4</v>
      </c>
    </row>
    <row r="273" spans="1:8" ht="14.1" customHeight="1" x14ac:dyDescent="0.25">
      <c r="A273" s="2" t="s">
        <v>270</v>
      </c>
      <c r="B273" s="2" t="s">
        <v>908</v>
      </c>
      <c r="C273" s="2" t="s">
        <v>909</v>
      </c>
      <c r="D273" s="2" t="s">
        <v>32</v>
      </c>
      <c r="E273" s="9">
        <v>660369.18900000001</v>
      </c>
      <c r="F273" s="9">
        <v>0</v>
      </c>
      <c r="G273" s="3">
        <v>0</v>
      </c>
      <c r="H273" s="3">
        <v>0</v>
      </c>
    </row>
    <row r="274" spans="1:8" ht="14.1" customHeight="1" x14ac:dyDescent="0.25">
      <c r="A274" s="2" t="s">
        <v>287</v>
      </c>
      <c r="B274" s="2" t="s">
        <v>910</v>
      </c>
      <c r="C274" s="2" t="s">
        <v>911</v>
      </c>
      <c r="D274" s="2" t="s">
        <v>10</v>
      </c>
      <c r="E274" s="9">
        <v>206492.38399999999</v>
      </c>
      <c r="F274" s="9">
        <v>85339.870003407472</v>
      </c>
      <c r="G274" s="3">
        <v>41.328337806108863</v>
      </c>
      <c r="H274" s="3">
        <v>5.0286659341853279E-2</v>
      </c>
    </row>
    <row r="275" spans="1:8" ht="14.1" customHeight="1" x14ac:dyDescent="0.25">
      <c r="A275" s="2" t="s">
        <v>171</v>
      </c>
      <c r="B275" s="2" t="s">
        <v>912</v>
      </c>
      <c r="C275" s="2" t="s">
        <v>913</v>
      </c>
      <c r="D275" s="2" t="s">
        <v>10</v>
      </c>
      <c r="E275" s="9">
        <v>624671.147</v>
      </c>
      <c r="F275" s="9">
        <v>45603.195155694979</v>
      </c>
      <c r="G275" s="3">
        <v>7.3003524133787119</v>
      </c>
      <c r="H275" s="3">
        <v>2.687175806106715E-2</v>
      </c>
    </row>
    <row r="276" spans="1:8" ht="14.1" customHeight="1" x14ac:dyDescent="0.25">
      <c r="A276" s="2" t="s">
        <v>169</v>
      </c>
      <c r="B276" s="2" t="s">
        <v>914</v>
      </c>
      <c r="C276" s="2" t="s">
        <v>915</v>
      </c>
      <c r="D276" s="2" t="s">
        <v>32</v>
      </c>
      <c r="E276" s="9">
        <v>1316957.1299999999</v>
      </c>
      <c r="F276" s="9">
        <v>41704.557491531923</v>
      </c>
      <c r="G276" s="3">
        <v>3.1667361481639049</v>
      </c>
      <c r="H276" s="3">
        <v>2.4574479378696779E-2</v>
      </c>
    </row>
    <row r="277" spans="1:8" ht="14.1" customHeight="1" x14ac:dyDescent="0.25">
      <c r="A277" s="2" t="s">
        <v>265</v>
      </c>
      <c r="B277" s="2" t="s">
        <v>916</v>
      </c>
      <c r="C277" s="2" t="s">
        <v>917</v>
      </c>
      <c r="D277" s="2" t="s">
        <v>32</v>
      </c>
      <c r="E277" s="9">
        <v>435262.64</v>
      </c>
      <c r="F277" s="9">
        <v>0</v>
      </c>
      <c r="G277" s="3">
        <v>0</v>
      </c>
      <c r="H277" s="3">
        <v>0</v>
      </c>
    </row>
    <row r="278" spans="1:8" ht="14.1" customHeight="1" x14ac:dyDescent="0.25">
      <c r="A278" s="2" t="s">
        <v>222</v>
      </c>
      <c r="B278" s="2" t="s">
        <v>918</v>
      </c>
      <c r="C278" s="2" t="s">
        <v>919</v>
      </c>
      <c r="D278" s="2" t="s">
        <v>39</v>
      </c>
      <c r="E278" s="9">
        <v>1846803.747</v>
      </c>
      <c r="F278" s="9">
        <v>415769.66370971012</v>
      </c>
      <c r="G278" s="3">
        <v>22.51293156541934</v>
      </c>
      <c r="H278" s="3">
        <v>0.2449929610018422</v>
      </c>
    </row>
    <row r="279" spans="1:8" ht="14.1" customHeight="1" x14ac:dyDescent="0.25">
      <c r="A279" s="2" t="s">
        <v>179</v>
      </c>
      <c r="B279" s="2" t="s">
        <v>920</v>
      </c>
      <c r="C279" s="2" t="s">
        <v>921</v>
      </c>
      <c r="D279" s="2" t="s">
        <v>32</v>
      </c>
      <c r="E279" s="9">
        <v>2464073.5350000001</v>
      </c>
      <c r="F279" s="9">
        <v>587186.47000116413</v>
      </c>
      <c r="G279" s="3">
        <v>23.829908550239921</v>
      </c>
      <c r="H279" s="3">
        <v>0.34600059721106802</v>
      </c>
    </row>
    <row r="280" spans="1:8" ht="14.1" customHeight="1" x14ac:dyDescent="0.25">
      <c r="A280" s="2" t="s">
        <v>253</v>
      </c>
      <c r="B280" s="2" t="s">
        <v>922</v>
      </c>
      <c r="C280" s="2" t="s">
        <v>923</v>
      </c>
      <c r="D280" s="2" t="s">
        <v>7</v>
      </c>
      <c r="E280" s="9">
        <v>1898798.75</v>
      </c>
      <c r="F280" s="9">
        <v>212726.4889052962</v>
      </c>
      <c r="G280" s="3">
        <v>11.20321407970677</v>
      </c>
      <c r="H280" s="3">
        <v>0.12534943491409159</v>
      </c>
    </row>
    <row r="281" spans="1:8" ht="14.1" customHeight="1" x14ac:dyDescent="0.25">
      <c r="A281" s="2" t="s">
        <v>334</v>
      </c>
      <c r="B281" s="2" t="s">
        <v>924</v>
      </c>
      <c r="C281" s="2" t="s">
        <v>925</v>
      </c>
      <c r="D281" s="2" t="s">
        <v>65</v>
      </c>
      <c r="E281" s="9">
        <v>415444.516</v>
      </c>
      <c r="F281" s="9">
        <v>27140.312732754181</v>
      </c>
      <c r="G281" s="3">
        <v>6.5328369222604392</v>
      </c>
      <c r="H281" s="3">
        <v>1.5992474101130909E-2</v>
      </c>
    </row>
    <row r="282" spans="1:8" ht="14.1" customHeight="1" x14ac:dyDescent="0.25">
      <c r="A282" s="2" t="s">
        <v>171</v>
      </c>
      <c r="B282" s="2" t="s">
        <v>926</v>
      </c>
      <c r="C282" s="2" t="s">
        <v>927</v>
      </c>
      <c r="D282" s="2" t="s">
        <v>10</v>
      </c>
      <c r="E282" s="9">
        <v>700240.51300000004</v>
      </c>
      <c r="F282" s="9">
        <v>2396.32122100378</v>
      </c>
      <c r="G282" s="3">
        <v>0.34221402168482917</v>
      </c>
      <c r="H282" s="3">
        <v>1.41203623710066E-3</v>
      </c>
    </row>
    <row r="283" spans="1:8" ht="14.1" customHeight="1" x14ac:dyDescent="0.25">
      <c r="A283" s="2" t="s">
        <v>336</v>
      </c>
      <c r="B283" s="2" t="s">
        <v>928</v>
      </c>
      <c r="C283" s="2" t="s">
        <v>929</v>
      </c>
      <c r="D283" s="2" t="s">
        <v>65</v>
      </c>
      <c r="E283" s="9">
        <v>623103.44999999995</v>
      </c>
      <c r="F283" s="9">
        <v>89375.125812824874</v>
      </c>
      <c r="G283" s="3">
        <v>14.34354533148948</v>
      </c>
      <c r="H283" s="3">
        <v>5.2664440491945318E-2</v>
      </c>
    </row>
    <row r="284" spans="1:8" ht="14.1" customHeight="1" x14ac:dyDescent="0.25">
      <c r="A284" s="2" t="s">
        <v>270</v>
      </c>
      <c r="B284" s="2" t="s">
        <v>930</v>
      </c>
      <c r="C284" s="2" t="s">
        <v>931</v>
      </c>
      <c r="D284" s="2" t="s">
        <v>32</v>
      </c>
      <c r="E284" s="9">
        <v>1147549.47</v>
      </c>
      <c r="F284" s="9">
        <v>280901.62860826968</v>
      </c>
      <c r="G284" s="3">
        <v>24.478389468322419</v>
      </c>
      <c r="H284" s="3">
        <v>0.165521748578148</v>
      </c>
    </row>
    <row r="285" spans="1:8" ht="14.1" customHeight="1" x14ac:dyDescent="0.25">
      <c r="A285" s="2" t="s">
        <v>291</v>
      </c>
      <c r="B285" s="2" t="s">
        <v>932</v>
      </c>
      <c r="C285" s="2" t="s">
        <v>933</v>
      </c>
      <c r="D285" s="2" t="s">
        <v>239</v>
      </c>
      <c r="E285" s="9">
        <v>12785260.498</v>
      </c>
      <c r="F285" s="9">
        <v>5074181.4273968441</v>
      </c>
      <c r="G285" s="3">
        <v>39.687743774877319</v>
      </c>
      <c r="H285" s="3">
        <v>2.989969786315303</v>
      </c>
    </row>
    <row r="286" spans="1:8" ht="14.1" customHeight="1" x14ac:dyDescent="0.25">
      <c r="A286" s="2" t="s">
        <v>195</v>
      </c>
      <c r="B286" s="2" t="s">
        <v>934</v>
      </c>
      <c r="C286" s="2" t="s">
        <v>935</v>
      </c>
      <c r="D286" s="2" t="s">
        <v>10</v>
      </c>
      <c r="E286" s="9">
        <v>2070061.004</v>
      </c>
      <c r="F286" s="9">
        <v>37562.569870759537</v>
      </c>
      <c r="G286" s="3">
        <v>1.81456342582064</v>
      </c>
      <c r="H286" s="3">
        <v>2.21338063324918E-2</v>
      </c>
    </row>
    <row r="287" spans="1:8" ht="14.1" customHeight="1" x14ac:dyDescent="0.25">
      <c r="A287" s="2" t="s">
        <v>312</v>
      </c>
      <c r="B287" s="2" t="s">
        <v>936</v>
      </c>
      <c r="C287" s="2" t="s">
        <v>937</v>
      </c>
      <c r="D287" s="2" t="s">
        <v>10</v>
      </c>
      <c r="E287" s="9">
        <v>293164.14799999999</v>
      </c>
      <c r="F287" s="9">
        <v>27779.986013702099</v>
      </c>
      <c r="G287" s="3">
        <v>9.4759151837700486</v>
      </c>
      <c r="H287" s="3">
        <v>1.6369402638376499E-2</v>
      </c>
    </row>
    <row r="288" spans="1:8" ht="14.1" customHeight="1" x14ac:dyDescent="0.25">
      <c r="A288" s="2" t="s">
        <v>222</v>
      </c>
      <c r="B288" s="2" t="s">
        <v>938</v>
      </c>
      <c r="C288" s="2" t="s">
        <v>939</v>
      </c>
      <c r="D288" s="2" t="s">
        <v>39</v>
      </c>
      <c r="E288" s="9">
        <v>1745478.727</v>
      </c>
      <c r="F288" s="9">
        <v>16386.178795194752</v>
      </c>
      <c r="G288" s="3">
        <v>0.93877848762775262</v>
      </c>
      <c r="H288" s="3">
        <v>9.6555829175244464E-3</v>
      </c>
    </row>
    <row r="289" spans="1:8" ht="14.1" customHeight="1" x14ac:dyDescent="0.25">
      <c r="A289" s="2" t="s">
        <v>319</v>
      </c>
      <c r="B289" s="2" t="s">
        <v>940</v>
      </c>
      <c r="C289" s="2" t="s">
        <v>941</v>
      </c>
      <c r="D289" s="2" t="s">
        <v>39</v>
      </c>
      <c r="E289" s="9">
        <v>2593716.7480000001</v>
      </c>
      <c r="F289" s="9">
        <v>73306.050890571685</v>
      </c>
      <c r="G289" s="3">
        <v>2.8262936169532602</v>
      </c>
      <c r="H289" s="3">
        <v>4.3195711555261918E-2</v>
      </c>
    </row>
    <row r="290" spans="1:8" ht="14.1" customHeight="1" x14ac:dyDescent="0.25">
      <c r="A290" s="2" t="s">
        <v>312</v>
      </c>
      <c r="B290" s="2" t="s">
        <v>942</v>
      </c>
      <c r="C290" s="2" t="s">
        <v>943</v>
      </c>
      <c r="D290" s="2" t="s">
        <v>10</v>
      </c>
      <c r="E290" s="9">
        <v>284171.96500000003</v>
      </c>
      <c r="F290" s="9">
        <v>6895.2766441689428</v>
      </c>
      <c r="G290" s="3">
        <v>2.426445073203805</v>
      </c>
      <c r="H290" s="3">
        <v>4.0630531504127704E-3</v>
      </c>
    </row>
    <row r="291" spans="1:8" ht="14.1" customHeight="1" x14ac:dyDescent="0.25">
      <c r="A291" s="2" t="s">
        <v>308</v>
      </c>
      <c r="B291" s="2" t="s">
        <v>944</v>
      </c>
      <c r="C291" s="2" t="s">
        <v>945</v>
      </c>
      <c r="D291" s="2" t="s">
        <v>41</v>
      </c>
      <c r="E291" s="9">
        <v>237798.85399999999</v>
      </c>
      <c r="F291" s="9">
        <v>37801.261058968361</v>
      </c>
      <c r="G291" s="3">
        <v>15.89631759073505</v>
      </c>
      <c r="H291" s="3">
        <v>2.2274455509352271E-2</v>
      </c>
    </row>
    <row r="292" spans="1:8" ht="14.1" customHeight="1" x14ac:dyDescent="0.25">
      <c r="A292" s="2" t="s">
        <v>312</v>
      </c>
      <c r="B292" s="2" t="s">
        <v>946</v>
      </c>
      <c r="C292" s="2" t="s">
        <v>947</v>
      </c>
      <c r="D292" s="2" t="s">
        <v>41</v>
      </c>
      <c r="E292" s="9">
        <v>149857.10500000001</v>
      </c>
      <c r="F292" s="9">
        <v>75480.111081617535</v>
      </c>
      <c r="G292" s="3">
        <v>50.368056343820022</v>
      </c>
      <c r="H292" s="3">
        <v>4.4476780113386537E-2</v>
      </c>
    </row>
    <row r="293" spans="1:8" ht="14.1" customHeight="1" x14ac:dyDescent="0.25">
      <c r="A293" s="2" t="s">
        <v>353</v>
      </c>
      <c r="B293" s="2" t="s">
        <v>948</v>
      </c>
      <c r="C293" s="2" t="s">
        <v>949</v>
      </c>
      <c r="D293" s="2" t="s">
        <v>32</v>
      </c>
      <c r="E293" s="9">
        <v>233750.948</v>
      </c>
      <c r="F293" s="9">
        <v>140637.67887218841</v>
      </c>
      <c r="G293" s="3">
        <v>60.165607915390538</v>
      </c>
      <c r="H293" s="3">
        <v>8.2870984544414189E-2</v>
      </c>
    </row>
    <row r="294" spans="1:8" ht="14.1" customHeight="1" x14ac:dyDescent="0.25">
      <c r="A294" s="2" t="s">
        <v>270</v>
      </c>
      <c r="B294" s="2" t="s">
        <v>950</v>
      </c>
      <c r="C294" s="2" t="s">
        <v>951</v>
      </c>
      <c r="D294" s="2" t="s">
        <v>10</v>
      </c>
      <c r="E294" s="9">
        <v>301216.55200000003</v>
      </c>
      <c r="F294" s="9">
        <v>12161.14132943519</v>
      </c>
      <c r="G294" s="3">
        <v>4.0373416562563884</v>
      </c>
      <c r="H294" s="3">
        <v>7.1659726130004894E-3</v>
      </c>
    </row>
    <row r="295" spans="1:8" ht="14.1" customHeight="1" x14ac:dyDescent="0.25">
      <c r="A295" s="2" t="s">
        <v>270</v>
      </c>
      <c r="B295" s="2" t="s">
        <v>952</v>
      </c>
      <c r="C295" s="2" t="s">
        <v>953</v>
      </c>
      <c r="D295" s="2" t="s">
        <v>10</v>
      </c>
      <c r="E295" s="9">
        <v>536555.98300000001</v>
      </c>
      <c r="F295" s="9">
        <v>60309.471698618421</v>
      </c>
      <c r="G295" s="3">
        <v>11.24010794948463</v>
      </c>
      <c r="H295" s="3">
        <v>3.5537455802012272E-2</v>
      </c>
    </row>
    <row r="296" spans="1:8" ht="14.1" customHeight="1" x14ac:dyDescent="0.25">
      <c r="A296" s="2" t="s">
        <v>183</v>
      </c>
      <c r="B296" s="2" t="s">
        <v>954</v>
      </c>
      <c r="C296" s="2" t="s">
        <v>955</v>
      </c>
      <c r="D296" s="2" t="s">
        <v>21</v>
      </c>
      <c r="E296" s="9">
        <v>324460.12300000002</v>
      </c>
      <c r="F296" s="9">
        <v>103223.1515364332</v>
      </c>
      <c r="G296" s="3">
        <v>31.813817544670421</v>
      </c>
      <c r="H296" s="3">
        <v>6.0824412520172101E-2</v>
      </c>
    </row>
    <row r="297" spans="1:8" ht="14.1" customHeight="1" x14ac:dyDescent="0.25">
      <c r="A297" s="2" t="s">
        <v>319</v>
      </c>
      <c r="B297" s="2" t="s">
        <v>956</v>
      </c>
      <c r="C297" s="2" t="s">
        <v>957</v>
      </c>
      <c r="D297" s="2" t="s">
        <v>39</v>
      </c>
      <c r="E297" s="9">
        <v>158622.63699999999</v>
      </c>
      <c r="F297" s="9">
        <v>0</v>
      </c>
      <c r="G297" s="3">
        <v>0</v>
      </c>
      <c r="H297" s="3">
        <v>0</v>
      </c>
    </row>
    <row r="298" spans="1:8" ht="14.1" customHeight="1" x14ac:dyDescent="0.25">
      <c r="A298" s="2" t="s">
        <v>219</v>
      </c>
      <c r="B298" s="2" t="s">
        <v>958</v>
      </c>
      <c r="C298" s="2" t="s">
        <v>959</v>
      </c>
      <c r="D298" s="2" t="s">
        <v>39</v>
      </c>
      <c r="E298" s="9">
        <v>903227.73899999994</v>
      </c>
      <c r="F298" s="9">
        <v>0</v>
      </c>
      <c r="G298" s="3">
        <v>0</v>
      </c>
      <c r="H298" s="3">
        <v>0</v>
      </c>
    </row>
    <row r="299" spans="1:8" ht="14.1" customHeight="1" x14ac:dyDescent="0.25">
      <c r="A299" s="2" t="s">
        <v>282</v>
      </c>
      <c r="B299" s="2" t="s">
        <v>960</v>
      </c>
      <c r="C299" s="2" t="s">
        <v>961</v>
      </c>
      <c r="D299" s="2" t="s">
        <v>10</v>
      </c>
      <c r="E299" s="9">
        <v>1430561.9539999999</v>
      </c>
      <c r="F299" s="9">
        <v>38184.444704708199</v>
      </c>
      <c r="G299" s="3">
        <v>2.6691919631960381</v>
      </c>
      <c r="H299" s="3">
        <v>2.25002471054482E-2</v>
      </c>
    </row>
    <row r="300" spans="1:8" ht="14.1" customHeight="1" x14ac:dyDescent="0.25">
      <c r="A300" s="2" t="s">
        <v>241</v>
      </c>
      <c r="B300" s="2" t="s">
        <v>962</v>
      </c>
      <c r="C300" s="2" t="s">
        <v>963</v>
      </c>
      <c r="D300" s="2" t="s">
        <v>21</v>
      </c>
      <c r="E300" s="9">
        <v>67547.244999999995</v>
      </c>
      <c r="F300" s="9">
        <v>66966.478535475835</v>
      </c>
      <c r="G300" s="3">
        <v>99.140207029133222</v>
      </c>
      <c r="H300" s="3">
        <v>3.9460108074954217E-2</v>
      </c>
    </row>
    <row r="301" spans="1:8" ht="14.1" customHeight="1" x14ac:dyDescent="0.25">
      <c r="A301" s="2" t="s">
        <v>185</v>
      </c>
      <c r="B301" s="2" t="s">
        <v>964</v>
      </c>
      <c r="C301" s="2" t="s">
        <v>965</v>
      </c>
      <c r="D301" s="2" t="s">
        <v>7</v>
      </c>
      <c r="E301" s="9">
        <v>4397260.25</v>
      </c>
      <c r="F301" s="9">
        <v>2367652.077672936</v>
      </c>
      <c r="G301" s="3">
        <v>53.84380143688189</v>
      </c>
      <c r="H301" s="3">
        <v>1.395142897044678</v>
      </c>
    </row>
    <row r="302" spans="1:8" ht="14.1" customHeight="1" x14ac:dyDescent="0.25">
      <c r="A302" s="2" t="s">
        <v>325</v>
      </c>
      <c r="B302" s="2" t="s">
        <v>966</v>
      </c>
      <c r="C302" s="2" t="s">
        <v>967</v>
      </c>
      <c r="D302" s="2" t="s">
        <v>7</v>
      </c>
      <c r="E302" s="9">
        <v>1142333.548</v>
      </c>
      <c r="F302" s="9">
        <v>146793.62885935171</v>
      </c>
      <c r="G302" s="3">
        <v>12.85032984598573</v>
      </c>
      <c r="H302" s="3">
        <v>8.6498388241157617E-2</v>
      </c>
    </row>
    <row r="303" spans="1:8" ht="14.1" customHeight="1" x14ac:dyDescent="0.25">
      <c r="A303" s="2" t="s">
        <v>171</v>
      </c>
      <c r="B303" s="2" t="s">
        <v>968</v>
      </c>
      <c r="C303" s="2" t="s">
        <v>969</v>
      </c>
      <c r="D303" s="2" t="s">
        <v>10</v>
      </c>
      <c r="E303" s="9">
        <v>1732137.2</v>
      </c>
      <c r="F303" s="9">
        <v>287676.24015557178</v>
      </c>
      <c r="G303" s="3">
        <v>16.608167075654968</v>
      </c>
      <c r="H303" s="3">
        <v>0.16951369962094859</v>
      </c>
    </row>
    <row r="304" spans="1:8" ht="14.1" customHeight="1" x14ac:dyDescent="0.25">
      <c r="A304" s="2" t="s">
        <v>171</v>
      </c>
      <c r="B304" s="2" t="s">
        <v>970</v>
      </c>
      <c r="C304" s="2" t="s">
        <v>971</v>
      </c>
      <c r="D304" s="2" t="s">
        <v>10</v>
      </c>
      <c r="E304" s="9">
        <v>535392.18500000006</v>
      </c>
      <c r="F304" s="9">
        <v>84675.993603815004</v>
      </c>
      <c r="G304" s="3">
        <v>15.81569473297691</v>
      </c>
      <c r="H304" s="3">
        <v>4.9895469076973932E-2</v>
      </c>
    </row>
    <row r="305" spans="1:8" ht="14.1" customHeight="1" x14ac:dyDescent="0.25">
      <c r="A305" s="2" t="s">
        <v>203</v>
      </c>
      <c r="B305" s="2" t="s">
        <v>972</v>
      </c>
      <c r="C305" s="2" t="s">
        <v>973</v>
      </c>
      <c r="D305" s="2" t="s">
        <v>7</v>
      </c>
      <c r="E305" s="9">
        <v>4928786.8569999998</v>
      </c>
      <c r="F305" s="9">
        <v>1162089.283819872</v>
      </c>
      <c r="G305" s="3">
        <v>23.57759257066353</v>
      </c>
      <c r="H305" s="3">
        <v>0.68476302972965453</v>
      </c>
    </row>
    <row r="306" spans="1:8" ht="14.1" customHeight="1" x14ac:dyDescent="0.25">
      <c r="A306" s="2" t="s">
        <v>300</v>
      </c>
      <c r="B306" s="2" t="s">
        <v>299</v>
      </c>
      <c r="C306" s="2" t="s">
        <v>974</v>
      </c>
      <c r="D306" s="2" t="s">
        <v>21</v>
      </c>
      <c r="E306" s="9">
        <v>2851777.2059999998</v>
      </c>
      <c r="F306" s="9">
        <v>1217059.2808890899</v>
      </c>
      <c r="G306" s="3">
        <v>42.677221710323529</v>
      </c>
      <c r="H306" s="3">
        <v>0.71715419128792779</v>
      </c>
    </row>
    <row r="307" spans="1:8" ht="14.1" customHeight="1" x14ac:dyDescent="0.25">
      <c r="A307" s="2" t="s">
        <v>327</v>
      </c>
      <c r="B307" s="2" t="s">
        <v>975</v>
      </c>
      <c r="C307" s="2" t="s">
        <v>976</v>
      </c>
      <c r="D307" s="2" t="s">
        <v>10</v>
      </c>
      <c r="E307" s="9">
        <v>148388.973</v>
      </c>
      <c r="F307" s="9">
        <v>47197.57476918101</v>
      </c>
      <c r="G307" s="3">
        <v>31.80665908994532</v>
      </c>
      <c r="H307" s="3">
        <v>2.7811248881498048E-2</v>
      </c>
    </row>
    <row r="308" spans="1:8" ht="14.1" customHeight="1" x14ac:dyDescent="0.25">
      <c r="A308" s="2" t="s">
        <v>205</v>
      </c>
      <c r="B308" s="2" t="s">
        <v>977</v>
      </c>
      <c r="C308" s="2" t="s">
        <v>978</v>
      </c>
      <c r="D308" s="2" t="s">
        <v>10</v>
      </c>
      <c r="E308" s="9">
        <v>110819.393</v>
      </c>
      <c r="F308" s="9">
        <v>37.712037760709549</v>
      </c>
      <c r="G308" s="3">
        <v>3.4030178960382462E-2</v>
      </c>
      <c r="H308" s="3">
        <v>2.2221880533497271E-5</v>
      </c>
    </row>
    <row r="309" spans="1:8" ht="14.1" customHeight="1" x14ac:dyDescent="0.25">
      <c r="A309" s="2" t="s">
        <v>211</v>
      </c>
      <c r="B309" s="2" t="s">
        <v>979</v>
      </c>
      <c r="C309" s="2" t="s">
        <v>980</v>
      </c>
      <c r="D309" s="2" t="s">
        <v>32</v>
      </c>
      <c r="E309" s="9">
        <v>1580383.5009999999</v>
      </c>
      <c r="F309" s="9">
        <v>40478.47178390812</v>
      </c>
      <c r="G309" s="3">
        <v>2.561306907993854</v>
      </c>
      <c r="H309" s="3">
        <v>2.3852006350547909E-2</v>
      </c>
    </row>
    <row r="310" spans="1:8" ht="14.1" customHeight="1" x14ac:dyDescent="0.25">
      <c r="A310" s="2" t="s">
        <v>187</v>
      </c>
      <c r="B310" s="2" t="s">
        <v>981</v>
      </c>
      <c r="C310" s="2" t="s">
        <v>982</v>
      </c>
      <c r="D310" s="2" t="s">
        <v>32</v>
      </c>
      <c r="E310" s="9">
        <v>466497.745</v>
      </c>
      <c r="F310" s="9">
        <v>18113.74760185364</v>
      </c>
      <c r="G310" s="3">
        <v>3.8829228642581399</v>
      </c>
      <c r="H310" s="3">
        <v>1.0673555689999951E-2</v>
      </c>
    </row>
    <row r="311" spans="1:8" ht="14.1" customHeight="1" x14ac:dyDescent="0.25">
      <c r="A311" s="2" t="s">
        <v>293</v>
      </c>
      <c r="B311" s="2" t="s">
        <v>983</v>
      </c>
      <c r="C311" s="2" t="s">
        <v>984</v>
      </c>
      <c r="D311" s="2" t="s">
        <v>347</v>
      </c>
      <c r="E311" s="9">
        <v>3233873.0260000001</v>
      </c>
      <c r="F311" s="9">
        <v>835871.87220558163</v>
      </c>
      <c r="G311" s="3">
        <v>25.847393063526599</v>
      </c>
      <c r="H311" s="3">
        <v>0.492538881174308</v>
      </c>
    </row>
    <row r="312" spans="1:8" ht="14.1" customHeight="1" x14ac:dyDescent="0.25">
      <c r="A312" s="2" t="s">
        <v>215</v>
      </c>
      <c r="B312" s="2" t="s">
        <v>985</v>
      </c>
      <c r="C312" s="2" t="s">
        <v>986</v>
      </c>
      <c r="D312" s="2" t="s">
        <v>7</v>
      </c>
      <c r="E312" s="9">
        <v>1343389.871</v>
      </c>
      <c r="F312" s="9">
        <v>404658.1635257267</v>
      </c>
      <c r="G312" s="3">
        <v>30.122168721169899</v>
      </c>
      <c r="H312" s="3">
        <v>0.23844549116732519</v>
      </c>
    </row>
    <row r="313" spans="1:8" ht="14.1" customHeight="1" x14ac:dyDescent="0.25">
      <c r="A313" s="2" t="s">
        <v>321</v>
      </c>
      <c r="B313" s="2" t="s">
        <v>987</v>
      </c>
      <c r="C313" s="2" t="s">
        <v>988</v>
      </c>
      <c r="D313" s="2" t="s">
        <v>21</v>
      </c>
      <c r="E313" s="9">
        <v>1938959.3600000001</v>
      </c>
      <c r="F313" s="9">
        <v>48420.256457097661</v>
      </c>
      <c r="G313" s="3">
        <v>2.497229052655217</v>
      </c>
      <c r="H313" s="3">
        <v>2.853171608541261E-2</v>
      </c>
    </row>
    <row r="314" spans="1:8" ht="14.1" customHeight="1" x14ac:dyDescent="0.25">
      <c r="A314" s="2" t="s">
        <v>302</v>
      </c>
      <c r="B314" s="2" t="s">
        <v>989</v>
      </c>
      <c r="C314" s="2" t="s">
        <v>990</v>
      </c>
      <c r="D314" s="2" t="s">
        <v>280</v>
      </c>
      <c r="E314" s="9">
        <v>162002.75899999999</v>
      </c>
      <c r="F314" s="9">
        <v>54604.004273640719</v>
      </c>
      <c r="G314" s="3">
        <v>33.705601442035153</v>
      </c>
      <c r="H314" s="3">
        <v>3.2175499699027367E-2</v>
      </c>
    </row>
    <row r="315" spans="1:8" ht="14.1" customHeight="1" x14ac:dyDescent="0.25">
      <c r="A315" s="2" t="s">
        <v>277</v>
      </c>
      <c r="B315" s="2" t="s">
        <v>991</v>
      </c>
      <c r="C315" s="2" t="s">
        <v>992</v>
      </c>
      <c r="D315" s="2" t="s">
        <v>10</v>
      </c>
      <c r="E315" s="9">
        <v>86829.023000000001</v>
      </c>
      <c r="F315" s="9">
        <v>13498.58001523269</v>
      </c>
      <c r="G315" s="3">
        <v>15.546161351179419</v>
      </c>
      <c r="H315" s="3">
        <v>7.9540605674422952E-3</v>
      </c>
    </row>
    <row r="316" spans="1:8" ht="14.1" customHeight="1" x14ac:dyDescent="0.25">
      <c r="A316" s="2" t="s">
        <v>298</v>
      </c>
      <c r="B316" s="2" t="s">
        <v>993</v>
      </c>
      <c r="C316" s="2" t="s">
        <v>994</v>
      </c>
      <c r="D316" s="2" t="s">
        <v>7</v>
      </c>
      <c r="E316" s="9">
        <v>1862236.0919999999</v>
      </c>
      <c r="F316" s="9">
        <v>127179.926188702</v>
      </c>
      <c r="G316" s="3">
        <v>6.829420111394878</v>
      </c>
      <c r="H316" s="3">
        <v>7.4940981549631414E-2</v>
      </c>
    </row>
    <row r="317" spans="1:8" ht="14.1" customHeight="1" x14ac:dyDescent="0.25">
      <c r="A317" s="2" t="s">
        <v>287</v>
      </c>
      <c r="B317" s="2" t="s">
        <v>995</v>
      </c>
      <c r="C317" s="2" t="s">
        <v>996</v>
      </c>
      <c r="D317" s="2" t="s">
        <v>10</v>
      </c>
      <c r="E317" s="9">
        <v>20606.021000000001</v>
      </c>
      <c r="F317" s="9">
        <v>10726.607621098659</v>
      </c>
      <c r="G317" s="3">
        <v>52.055695862382443</v>
      </c>
      <c r="H317" s="3">
        <v>6.3206712561710947E-3</v>
      </c>
    </row>
    <row r="318" spans="1:8" ht="14.1" customHeight="1" x14ac:dyDescent="0.25">
      <c r="A318" s="2" t="s">
        <v>229</v>
      </c>
      <c r="B318" s="2" t="s">
        <v>997</v>
      </c>
      <c r="C318" s="2" t="s">
        <v>998</v>
      </c>
      <c r="D318" s="2" t="s">
        <v>39</v>
      </c>
      <c r="E318" s="9">
        <v>1409304.8970000001</v>
      </c>
      <c r="F318" s="9">
        <v>145387.3613147343</v>
      </c>
      <c r="G318" s="3">
        <v>10.316246088708111</v>
      </c>
      <c r="H318" s="3">
        <v>8.5669742767982476E-2</v>
      </c>
    </row>
    <row r="319" spans="1:8" ht="14.1" customHeight="1" x14ac:dyDescent="0.25">
      <c r="A319" s="2" t="s">
        <v>259</v>
      </c>
      <c r="B319" s="2" t="s">
        <v>999</v>
      </c>
      <c r="C319" s="2" t="s">
        <v>1000</v>
      </c>
      <c r="D319" s="2" t="s">
        <v>7</v>
      </c>
      <c r="E319" s="9">
        <v>991276.99199999997</v>
      </c>
      <c r="F319" s="9">
        <v>370285.52113850007</v>
      </c>
      <c r="G319" s="3">
        <v>37.354394798512587</v>
      </c>
      <c r="H319" s="3">
        <v>0.21819135487280311</v>
      </c>
    </row>
    <row r="320" spans="1:8" ht="14.1" customHeight="1" x14ac:dyDescent="0.25">
      <c r="A320" s="2" t="s">
        <v>330</v>
      </c>
      <c r="B320" s="2" t="s">
        <v>1001</v>
      </c>
      <c r="C320" s="2" t="s">
        <v>1002</v>
      </c>
      <c r="D320" s="2" t="s">
        <v>21</v>
      </c>
      <c r="E320" s="9">
        <v>3627233.4959999998</v>
      </c>
      <c r="F320" s="9">
        <v>0</v>
      </c>
      <c r="G320" s="3">
        <v>0</v>
      </c>
      <c r="H320" s="3">
        <v>0</v>
      </c>
    </row>
    <row r="321" spans="1:8" ht="14.1" customHeight="1" x14ac:dyDescent="0.25">
      <c r="A321" s="2" t="s">
        <v>314</v>
      </c>
      <c r="B321" s="2" t="s">
        <v>1003</v>
      </c>
      <c r="C321" s="2" t="s">
        <v>1004</v>
      </c>
      <c r="D321" s="2" t="s">
        <v>315</v>
      </c>
      <c r="E321" s="9">
        <v>614728.80000000005</v>
      </c>
      <c r="F321" s="9">
        <v>162425.8752479096</v>
      </c>
      <c r="G321" s="3">
        <v>26.422363040077119</v>
      </c>
      <c r="H321" s="3">
        <v>9.5709715242920587E-2</v>
      </c>
    </row>
    <row r="322" spans="1:8" ht="14.1" customHeight="1" x14ac:dyDescent="0.25">
      <c r="A322" s="2" t="s">
        <v>174</v>
      </c>
      <c r="B322" s="2" t="s">
        <v>1005</v>
      </c>
      <c r="C322" s="2" t="s">
        <v>1006</v>
      </c>
      <c r="D322" s="2" t="s">
        <v>10</v>
      </c>
      <c r="E322" s="9">
        <v>260805.51</v>
      </c>
      <c r="F322" s="9">
        <v>0</v>
      </c>
      <c r="G322" s="3">
        <v>0</v>
      </c>
      <c r="H322" s="3">
        <v>0</v>
      </c>
    </row>
    <row r="323" spans="1:8" ht="14.1" customHeight="1" x14ac:dyDescent="0.25">
      <c r="A323" s="2" t="s">
        <v>287</v>
      </c>
      <c r="B323" s="2" t="s">
        <v>1007</v>
      </c>
      <c r="C323" s="2" t="s">
        <v>1008</v>
      </c>
      <c r="D323" s="2" t="s">
        <v>10</v>
      </c>
      <c r="E323" s="9">
        <v>150795.42199999999</v>
      </c>
      <c r="F323" s="9">
        <v>17627.251330781241</v>
      </c>
      <c r="G323" s="3">
        <v>11.689513578722069</v>
      </c>
      <c r="H323" s="3">
        <v>1.038688695880171E-2</v>
      </c>
    </row>
    <row r="324" spans="1:8" ht="14.1" customHeight="1" x14ac:dyDescent="0.25">
      <c r="A324" s="2" t="s">
        <v>238</v>
      </c>
      <c r="B324" s="2" t="s">
        <v>1009</v>
      </c>
      <c r="C324" s="2" t="s">
        <v>1010</v>
      </c>
      <c r="D324" s="2" t="s">
        <v>7</v>
      </c>
      <c r="E324" s="9">
        <v>4741854.3789999997</v>
      </c>
      <c r="F324" s="9">
        <v>457161.20272946329</v>
      </c>
      <c r="G324" s="3">
        <v>9.6409793762134299</v>
      </c>
      <c r="H324" s="3">
        <v>0.26938299372908042</v>
      </c>
    </row>
    <row r="325" spans="1:8" ht="14.1" customHeight="1" x14ac:dyDescent="0.25">
      <c r="A325" s="2" t="s">
        <v>305</v>
      </c>
      <c r="B325" s="2" t="s">
        <v>1011</v>
      </c>
      <c r="C325" s="2" t="s">
        <v>1012</v>
      </c>
      <c r="D325" s="2" t="s">
        <v>1013</v>
      </c>
      <c r="E325" s="9">
        <v>12962073.096999999</v>
      </c>
      <c r="F325" s="9">
        <v>3013819.2609464088</v>
      </c>
      <c r="G325" s="3">
        <v>23.251058981020101</v>
      </c>
      <c r="H325" s="3">
        <v>1.775897976960555</v>
      </c>
    </row>
    <row r="326" spans="1:8" ht="14.1" customHeight="1" x14ac:dyDescent="0.25">
      <c r="A326" s="2" t="s">
        <v>162</v>
      </c>
      <c r="B326" s="2" t="s">
        <v>1014</v>
      </c>
      <c r="C326" s="2" t="s">
        <v>1015</v>
      </c>
      <c r="D326" s="2" t="s">
        <v>163</v>
      </c>
      <c r="E326" s="9">
        <v>713114.18</v>
      </c>
      <c r="F326" s="9">
        <v>530777.85410295555</v>
      </c>
      <c r="G326" s="3">
        <v>74.430977393123143</v>
      </c>
      <c r="H326" s="3">
        <v>0.31276172713187278</v>
      </c>
    </row>
    <row r="327" spans="1:8" ht="14.1" customHeight="1" x14ac:dyDescent="0.25">
      <c r="A327" s="2" t="s">
        <v>314</v>
      </c>
      <c r="B327" s="2" t="s">
        <v>1016</v>
      </c>
      <c r="C327" s="2" t="s">
        <v>1017</v>
      </c>
      <c r="D327" s="2" t="s">
        <v>32</v>
      </c>
      <c r="E327" s="9">
        <v>563865.647</v>
      </c>
      <c r="F327" s="9">
        <v>24586.3559107693</v>
      </c>
      <c r="G327" s="3">
        <v>4.3603216549153068</v>
      </c>
      <c r="H327" s="3">
        <v>1.4487550825810391E-2</v>
      </c>
    </row>
    <row r="328" spans="1:8" ht="14.1" customHeight="1" x14ac:dyDescent="0.25">
      <c r="A328" s="2" t="s">
        <v>169</v>
      </c>
      <c r="B328" s="2" t="s">
        <v>1018</v>
      </c>
      <c r="C328" s="2" t="s">
        <v>1019</v>
      </c>
      <c r="D328" s="2" t="s">
        <v>32</v>
      </c>
      <c r="E328" s="9">
        <v>1009244.0379999999</v>
      </c>
      <c r="F328" s="9">
        <v>21480.277005568139</v>
      </c>
      <c r="G328" s="3">
        <v>2.1283531234066251</v>
      </c>
      <c r="H328" s="3">
        <v>1.265728870110208E-2</v>
      </c>
    </row>
    <row r="329" spans="1:8" ht="14.1" customHeight="1" x14ac:dyDescent="0.25">
      <c r="A329" s="2" t="s">
        <v>338</v>
      </c>
      <c r="B329" s="2" t="s">
        <v>1020</v>
      </c>
      <c r="C329" s="2" t="s">
        <v>1021</v>
      </c>
      <c r="D329" s="2" t="s">
        <v>65</v>
      </c>
      <c r="E329" s="9">
        <v>1131822.091</v>
      </c>
      <c r="F329" s="9">
        <v>183570.76978712401</v>
      </c>
      <c r="G329" s="3">
        <v>16.219048138999781</v>
      </c>
      <c r="H329" s="3">
        <v>0.1081693792718256</v>
      </c>
    </row>
    <row r="330" spans="1:8" ht="14.1" customHeight="1" x14ac:dyDescent="0.25">
      <c r="A330" s="2" t="s">
        <v>310</v>
      </c>
      <c r="B330" s="2" t="s">
        <v>1022</v>
      </c>
      <c r="C330" s="2" t="s">
        <v>1023</v>
      </c>
      <c r="D330" s="2" t="s">
        <v>280</v>
      </c>
      <c r="E330" s="9">
        <v>1734516.9280000001</v>
      </c>
      <c r="F330" s="9">
        <v>740329.57127556333</v>
      </c>
      <c r="G330" s="3">
        <v>42.682176191223853</v>
      </c>
      <c r="H330" s="3">
        <v>0.43624042255921019</v>
      </c>
    </row>
    <row r="331" spans="1:8" ht="14.1" customHeight="1" x14ac:dyDescent="0.25">
      <c r="A331" s="2" t="s">
        <v>293</v>
      </c>
      <c r="B331" s="2" t="s">
        <v>1024</v>
      </c>
      <c r="C331" s="2" t="s">
        <v>1025</v>
      </c>
      <c r="D331" s="2" t="s">
        <v>236</v>
      </c>
      <c r="E331" s="9">
        <v>7728295.5839999998</v>
      </c>
      <c r="F331" s="9">
        <v>276533.77748647711</v>
      </c>
      <c r="G331" s="3">
        <v>3.5781987694542758</v>
      </c>
      <c r="H331" s="3">
        <v>0.16294798509094391</v>
      </c>
    </row>
    <row r="332" spans="1:8" ht="14.1" customHeight="1" x14ac:dyDescent="0.25">
      <c r="A332" s="2" t="s">
        <v>274</v>
      </c>
      <c r="B332" s="2" t="s">
        <v>1026</v>
      </c>
      <c r="C332" s="2" t="s">
        <v>1027</v>
      </c>
      <c r="D332" s="2" t="s">
        <v>1028</v>
      </c>
      <c r="E332" s="9">
        <v>5439224.0080000004</v>
      </c>
      <c r="F332" s="9">
        <v>1159750.765477947</v>
      </c>
      <c r="G332" s="3">
        <v>21.321989382533019</v>
      </c>
      <c r="H332" s="3">
        <v>0.68338505393451487</v>
      </c>
    </row>
    <row r="333" spans="1:8" ht="14.1" customHeight="1" x14ac:dyDescent="0.25">
      <c r="A333" s="2" t="s">
        <v>197</v>
      </c>
      <c r="B333" s="2" t="s">
        <v>1029</v>
      </c>
      <c r="C333" s="2" t="s">
        <v>1030</v>
      </c>
      <c r="D333" s="2" t="s">
        <v>7</v>
      </c>
      <c r="E333" s="9">
        <v>6010838.3530000001</v>
      </c>
      <c r="F333" s="9">
        <v>1727319.2633234491</v>
      </c>
      <c r="G333" s="3">
        <v>28.736744558458259</v>
      </c>
      <c r="H333" s="3">
        <v>1.0178257286529619</v>
      </c>
    </row>
    <row r="334" spans="1:8" ht="14.1" customHeight="1" x14ac:dyDescent="0.25">
      <c r="A334" s="2" t="s">
        <v>171</v>
      </c>
      <c r="B334" s="2" t="s">
        <v>1031</v>
      </c>
      <c r="C334" s="2" t="s">
        <v>1032</v>
      </c>
      <c r="D334" s="2" t="s">
        <v>32</v>
      </c>
      <c r="E334" s="9">
        <v>4264666.2759999996</v>
      </c>
      <c r="F334" s="9">
        <v>97276.974887300676</v>
      </c>
      <c r="G334" s="3">
        <v>2.280998525834022</v>
      </c>
      <c r="H334" s="3">
        <v>5.7320618109312653E-2</v>
      </c>
    </row>
    <row r="335" spans="1:8" ht="14.1" customHeight="1" x14ac:dyDescent="0.25">
      <c r="A335" s="2" t="s">
        <v>222</v>
      </c>
      <c r="B335" s="2" t="s">
        <v>1033</v>
      </c>
      <c r="C335" s="2" t="s">
        <v>1034</v>
      </c>
      <c r="D335" s="2" t="s">
        <v>39</v>
      </c>
      <c r="E335" s="9">
        <v>728317.28599999996</v>
      </c>
      <c r="F335" s="9">
        <v>34056.100909858607</v>
      </c>
      <c r="G335" s="3">
        <v>4.675997887802243</v>
      </c>
      <c r="H335" s="3">
        <v>2.0067613706201561E-2</v>
      </c>
    </row>
    <row r="336" spans="1:8" ht="14.1" customHeight="1" x14ac:dyDescent="0.25">
      <c r="A336" s="2" t="s">
        <v>314</v>
      </c>
      <c r="B336" s="2" t="s">
        <v>1035</v>
      </c>
      <c r="C336" s="2" t="s">
        <v>1036</v>
      </c>
      <c r="D336" s="2" t="s">
        <v>32</v>
      </c>
      <c r="E336" s="9">
        <v>220.26599999999999</v>
      </c>
      <c r="F336" s="9">
        <v>163.57800322744089</v>
      </c>
      <c r="G336" s="3">
        <v>74.263846089474043</v>
      </c>
      <c r="H336" s="3">
        <v>9.6388608557646698E-5</v>
      </c>
    </row>
    <row r="337" spans="1:8" ht="14.1" customHeight="1" x14ac:dyDescent="0.25">
      <c r="A337" s="2" t="s">
        <v>253</v>
      </c>
      <c r="B337" s="2" t="s">
        <v>1037</v>
      </c>
      <c r="C337" s="2" t="s">
        <v>1038</v>
      </c>
      <c r="D337" s="2" t="s">
        <v>7</v>
      </c>
      <c r="E337" s="9">
        <v>2610275.389</v>
      </c>
      <c r="F337" s="9">
        <v>455063.42298761662</v>
      </c>
      <c r="G337" s="3">
        <v>17.433540725446289</v>
      </c>
      <c r="H337" s="3">
        <v>0.26814687355162659</v>
      </c>
    </row>
    <row r="338" spans="1:8" ht="14.1" customHeight="1" x14ac:dyDescent="0.25">
      <c r="A338" s="2" t="s">
        <v>340</v>
      </c>
      <c r="B338" s="2" t="s">
        <v>1039</v>
      </c>
      <c r="C338" s="2" t="s">
        <v>1040</v>
      </c>
      <c r="D338" s="2" t="s">
        <v>65</v>
      </c>
      <c r="E338" s="9">
        <v>757227.52599999995</v>
      </c>
      <c r="F338" s="9">
        <v>416117.65184770839</v>
      </c>
      <c r="G338" s="3">
        <v>54.952789955460283</v>
      </c>
      <c r="H338" s="3">
        <v>0.2451980135868746</v>
      </c>
    </row>
    <row r="339" spans="1:8" ht="14.1" customHeight="1" x14ac:dyDescent="0.25">
      <c r="A339" s="2" t="s">
        <v>265</v>
      </c>
      <c r="B339" s="2" t="s">
        <v>1041</v>
      </c>
      <c r="C339" s="2" t="s">
        <v>1042</v>
      </c>
      <c r="D339" s="2" t="s">
        <v>32</v>
      </c>
      <c r="E339" s="9">
        <v>4720994.7520000003</v>
      </c>
      <c r="F339" s="9">
        <v>33555.683519536877</v>
      </c>
      <c r="G339" s="3">
        <v>0.71077570050933359</v>
      </c>
      <c r="H339" s="3">
        <v>1.9772741932494349E-2</v>
      </c>
    </row>
    <row r="340" spans="1:8" ht="14.1" customHeight="1" x14ac:dyDescent="0.25">
      <c r="A340" s="2" t="s">
        <v>217</v>
      </c>
      <c r="B340" s="2" t="s">
        <v>1043</v>
      </c>
      <c r="C340" s="2" t="s">
        <v>1044</v>
      </c>
      <c r="D340" s="2" t="s">
        <v>39</v>
      </c>
      <c r="E340" s="9">
        <v>438470.42499999999</v>
      </c>
      <c r="F340" s="9">
        <v>36921.758954526013</v>
      </c>
      <c r="G340" s="3">
        <v>8.4205813777579213</v>
      </c>
      <c r="H340" s="3">
        <v>2.17562074417753E-2</v>
      </c>
    </row>
    <row r="341" spans="1:8" ht="14.1" customHeight="1" x14ac:dyDescent="0.25">
      <c r="A341" s="2" t="s">
        <v>265</v>
      </c>
      <c r="B341" s="2" t="s">
        <v>1045</v>
      </c>
      <c r="C341" s="2" t="s">
        <v>1046</v>
      </c>
      <c r="D341" s="2" t="s">
        <v>32</v>
      </c>
      <c r="E341" s="9">
        <v>3715453.6540000001</v>
      </c>
      <c r="F341" s="9">
        <v>286795.07436768728</v>
      </c>
      <c r="G341" s="3">
        <v>7.718978651743595</v>
      </c>
      <c r="H341" s="3">
        <v>0.16899447122515571</v>
      </c>
    </row>
    <row r="342" spans="1:8" ht="14.1" customHeight="1" x14ac:dyDescent="0.25">
      <c r="A342" s="2" t="s">
        <v>268</v>
      </c>
      <c r="B342" s="2" t="s">
        <v>1047</v>
      </c>
      <c r="C342" s="2" t="s">
        <v>1048</v>
      </c>
      <c r="D342" s="2" t="s">
        <v>32</v>
      </c>
      <c r="E342" s="9">
        <v>1333519.446</v>
      </c>
      <c r="F342" s="9">
        <v>11347.984775216921</v>
      </c>
      <c r="G342" s="3">
        <v>0.85098007451305857</v>
      </c>
      <c r="H342" s="3">
        <v>6.6868187704655028E-3</v>
      </c>
    </row>
    <row r="343" spans="1:8" ht="14.1" customHeight="1" x14ac:dyDescent="0.25">
      <c r="A343" s="2" t="s">
        <v>217</v>
      </c>
      <c r="B343" s="2" t="s">
        <v>1049</v>
      </c>
      <c r="C343" s="2" t="s">
        <v>1050</v>
      </c>
      <c r="D343" s="2" t="s">
        <v>39</v>
      </c>
      <c r="E343" s="9">
        <v>1093789.2709999999</v>
      </c>
      <c r="F343" s="9">
        <v>14011.32520137219</v>
      </c>
      <c r="G343" s="3">
        <v>1.280989453166083</v>
      </c>
      <c r="H343" s="3">
        <v>8.2561965151949981E-3</v>
      </c>
    </row>
    <row r="344" spans="1:8" ht="14.1" customHeight="1" x14ac:dyDescent="0.25">
      <c r="A344" s="2" t="s">
        <v>287</v>
      </c>
      <c r="B344" s="2" t="s">
        <v>1051</v>
      </c>
      <c r="C344" s="2" t="s">
        <v>1052</v>
      </c>
      <c r="D344" s="2" t="s">
        <v>172</v>
      </c>
      <c r="E344" s="9">
        <v>267998.52399999998</v>
      </c>
      <c r="F344" s="9">
        <v>38693.865106850477</v>
      </c>
      <c r="G344" s="3">
        <v>14.438088885463589</v>
      </c>
      <c r="H344" s="3">
        <v>2.2800423918739519E-2</v>
      </c>
    </row>
    <row r="345" spans="1:8" ht="14.1" customHeight="1" x14ac:dyDescent="0.25">
      <c r="A345" s="2" t="s">
        <v>179</v>
      </c>
      <c r="B345" s="2" t="s">
        <v>1053</v>
      </c>
      <c r="C345" s="2" t="s">
        <v>1054</v>
      </c>
      <c r="D345" s="2" t="s">
        <v>32</v>
      </c>
      <c r="E345" s="9">
        <v>512498.27</v>
      </c>
      <c r="F345" s="9">
        <v>248279.82602306659</v>
      </c>
      <c r="G345" s="3">
        <v>48.445007633502172</v>
      </c>
      <c r="H345" s="3">
        <v>0.14629929752855311</v>
      </c>
    </row>
    <row r="346" spans="1:8" ht="14.1" customHeight="1" x14ac:dyDescent="0.25">
      <c r="A346" s="2" t="s">
        <v>305</v>
      </c>
      <c r="B346" s="2" t="s">
        <v>1055</v>
      </c>
      <c r="C346" s="2" t="s">
        <v>1056</v>
      </c>
      <c r="D346" s="2" t="s">
        <v>175</v>
      </c>
      <c r="E346" s="9">
        <v>7482820.5250000004</v>
      </c>
      <c r="F346" s="9">
        <v>1403068.5843597371</v>
      </c>
      <c r="G346" s="3">
        <v>18.750531028668991</v>
      </c>
      <c r="H346" s="3">
        <v>0.8267604805601092</v>
      </c>
    </row>
    <row r="347" spans="1:8" ht="14.1" customHeight="1" x14ac:dyDescent="0.25">
      <c r="A347" s="2" t="s">
        <v>312</v>
      </c>
      <c r="B347" s="2" t="s">
        <v>1057</v>
      </c>
      <c r="C347" s="2" t="s">
        <v>1058</v>
      </c>
      <c r="D347" s="2" t="s">
        <v>41</v>
      </c>
      <c r="E347" s="9">
        <v>342045.20799999998</v>
      </c>
      <c r="F347" s="9">
        <v>7455.290513115543</v>
      </c>
      <c r="G347" s="3">
        <v>2.1796213888532372</v>
      </c>
      <c r="H347" s="3">
        <v>4.3930422475757548E-3</v>
      </c>
    </row>
    <row r="348" spans="1:8" ht="14.1" customHeight="1" x14ac:dyDescent="0.25">
      <c r="A348" s="2" t="s">
        <v>192</v>
      </c>
      <c r="B348" s="2" t="s">
        <v>1059</v>
      </c>
      <c r="C348" s="2" t="s">
        <v>1060</v>
      </c>
      <c r="D348" s="2" t="s">
        <v>193</v>
      </c>
      <c r="E348" s="9">
        <v>8945359.9360000007</v>
      </c>
      <c r="F348" s="9">
        <v>594608.85485166253</v>
      </c>
      <c r="G348" s="3">
        <v>6.6471205083509179</v>
      </c>
      <c r="H348" s="3">
        <v>0.35037424974260151</v>
      </c>
    </row>
    <row r="349" spans="1:8" ht="14.1" customHeight="1" x14ac:dyDescent="0.25">
      <c r="A349" s="2" t="s">
        <v>314</v>
      </c>
      <c r="B349" s="2" t="s">
        <v>1061</v>
      </c>
      <c r="C349" s="2" t="s">
        <v>1062</v>
      </c>
      <c r="D349" s="2" t="s">
        <v>315</v>
      </c>
      <c r="E349" s="9">
        <v>351122.65299999999</v>
      </c>
      <c r="F349" s="9">
        <v>59780.311943020308</v>
      </c>
      <c r="G349" s="3">
        <v>17.02547854211511</v>
      </c>
      <c r="H349" s="3">
        <v>3.5225647542096727E-2</v>
      </c>
    </row>
    <row r="350" spans="1:8" ht="14.1" customHeight="1" x14ac:dyDescent="0.25">
      <c r="A350" s="2" t="s">
        <v>327</v>
      </c>
      <c r="B350" s="2" t="s">
        <v>1063</v>
      </c>
      <c r="C350" s="2" t="s">
        <v>1064</v>
      </c>
      <c r="D350" s="2" t="s">
        <v>10</v>
      </c>
      <c r="E350" s="9">
        <v>153838.60800000001</v>
      </c>
      <c r="F350" s="9">
        <v>51111.164780965642</v>
      </c>
      <c r="G350" s="3">
        <v>33.223886672821187</v>
      </c>
      <c r="H350" s="3">
        <v>3.011733825939885E-2</v>
      </c>
    </row>
    <row r="351" spans="1:8" ht="14.1" customHeight="1" x14ac:dyDescent="0.25">
      <c r="A351" s="2" t="s">
        <v>265</v>
      </c>
      <c r="B351" s="2" t="s">
        <v>1065</v>
      </c>
      <c r="C351" s="2" t="s">
        <v>1066</v>
      </c>
      <c r="D351" s="2" t="s">
        <v>21</v>
      </c>
      <c r="E351" s="9">
        <v>1153283.031</v>
      </c>
      <c r="F351" s="9">
        <v>0</v>
      </c>
      <c r="G351" s="3">
        <v>0</v>
      </c>
      <c r="H351" s="3">
        <v>0</v>
      </c>
    </row>
    <row r="352" spans="1:8" ht="14.1" customHeight="1" x14ac:dyDescent="0.25">
      <c r="A352" s="2" t="s">
        <v>171</v>
      </c>
      <c r="B352" s="2" t="s">
        <v>1067</v>
      </c>
      <c r="C352" s="2" t="s">
        <v>1068</v>
      </c>
      <c r="D352" s="2" t="s">
        <v>10</v>
      </c>
      <c r="E352" s="9">
        <v>203893.87400000001</v>
      </c>
      <c r="F352" s="9">
        <v>4298.2416112782239</v>
      </c>
      <c r="G352" s="3">
        <v>2.108077857836093</v>
      </c>
      <c r="H352" s="3">
        <v>2.5327459681705202E-3</v>
      </c>
    </row>
    <row r="353" spans="1:8" ht="14.1" customHeight="1" x14ac:dyDescent="0.25">
      <c r="A353" s="2" t="s">
        <v>217</v>
      </c>
      <c r="B353" s="2" t="s">
        <v>1069</v>
      </c>
      <c r="C353" s="2" t="s">
        <v>1070</v>
      </c>
      <c r="D353" s="2" t="s">
        <v>39</v>
      </c>
      <c r="E353" s="9">
        <v>1096175.3640000001</v>
      </c>
      <c r="F353" s="9">
        <v>213770.26558680291</v>
      </c>
      <c r="G353" s="3">
        <v>19.50146597043965</v>
      </c>
      <c r="H353" s="3">
        <v>0.12596448204751001</v>
      </c>
    </row>
    <row r="354" spans="1:8" ht="14.1" customHeight="1" x14ac:dyDescent="0.25">
      <c r="A354" s="2" t="s">
        <v>238</v>
      </c>
      <c r="B354" s="2" t="s">
        <v>1071</v>
      </c>
      <c r="C354" s="2" t="s">
        <v>1072</v>
      </c>
      <c r="D354" s="2" t="s">
        <v>39</v>
      </c>
      <c r="E354" s="9">
        <v>3663148.9739999999</v>
      </c>
      <c r="F354" s="9">
        <v>1628120.299039152</v>
      </c>
      <c r="G354" s="3">
        <v>44.445920998438552</v>
      </c>
      <c r="H354" s="3">
        <v>0.95937257511722385</v>
      </c>
    </row>
    <row r="355" spans="1:8" ht="14.1" customHeight="1" x14ac:dyDescent="0.25">
      <c r="A355" s="2" t="s">
        <v>355</v>
      </c>
      <c r="B355" s="2" t="s">
        <v>1073</v>
      </c>
      <c r="C355" s="2" t="s">
        <v>1074</v>
      </c>
      <c r="D355" s="2" t="s">
        <v>7</v>
      </c>
      <c r="E355" s="9">
        <v>3498943.4890000001</v>
      </c>
      <c r="F355" s="9">
        <v>970447.05670886242</v>
      </c>
      <c r="G355" s="3">
        <v>27.735430988232871</v>
      </c>
      <c r="H355" s="3">
        <v>0.57183753089938172</v>
      </c>
    </row>
    <row r="356" spans="1:8" ht="14.1" customHeight="1" x14ac:dyDescent="0.25">
      <c r="A356" s="2" t="s">
        <v>330</v>
      </c>
      <c r="B356" s="2" t="s">
        <v>1075</v>
      </c>
      <c r="C356" s="2" t="s">
        <v>1076</v>
      </c>
      <c r="D356" s="2" t="s">
        <v>236</v>
      </c>
      <c r="E356" s="9">
        <v>20769151.078000002</v>
      </c>
      <c r="F356" s="9">
        <v>11608908.33157781</v>
      </c>
      <c r="G356" s="3">
        <v>55.894958286834829</v>
      </c>
      <c r="H356" s="3">
        <v>6.8405684069772601</v>
      </c>
    </row>
    <row r="357" spans="1:8" ht="14.1" customHeight="1" x14ac:dyDescent="0.25">
      <c r="A357" s="2" t="s">
        <v>171</v>
      </c>
      <c r="B357" s="2" t="s">
        <v>1077</v>
      </c>
      <c r="C357" s="2" t="s">
        <v>1078</v>
      </c>
      <c r="D357" s="2" t="s">
        <v>32</v>
      </c>
      <c r="E357" s="9">
        <v>511338.78200000001</v>
      </c>
      <c r="F357" s="9">
        <v>876.43692503259001</v>
      </c>
      <c r="G357" s="3">
        <v>0.1714004405463988</v>
      </c>
      <c r="H357" s="3">
        <v>5.1644190554749492E-4</v>
      </c>
    </row>
    <row r="358" spans="1:8" ht="14.1" customHeight="1" x14ac:dyDescent="0.25">
      <c r="A358" s="2" t="s">
        <v>171</v>
      </c>
      <c r="B358" s="2" t="s">
        <v>1079</v>
      </c>
      <c r="C358" s="2" t="s">
        <v>1080</v>
      </c>
      <c r="D358" s="2" t="s">
        <v>32</v>
      </c>
      <c r="E358" s="9">
        <v>652004.84100000001</v>
      </c>
      <c r="F358" s="9">
        <v>592.90469555392337</v>
      </c>
      <c r="G358" s="3">
        <v>9.0935627815978651E-2</v>
      </c>
      <c r="H358" s="3">
        <v>3.4937007106191872E-4</v>
      </c>
    </row>
    <row r="359" spans="1:8" ht="14.1" customHeight="1" x14ac:dyDescent="0.25">
      <c r="A359" s="2" t="s">
        <v>287</v>
      </c>
      <c r="B359" s="2" t="s">
        <v>1081</v>
      </c>
      <c r="C359" s="2" t="s">
        <v>1082</v>
      </c>
      <c r="D359" s="2" t="s">
        <v>172</v>
      </c>
      <c r="E359" s="9">
        <v>139242.231</v>
      </c>
      <c r="F359" s="9">
        <v>4491.7071003774754</v>
      </c>
      <c r="G359" s="3">
        <v>3.2258224161730609</v>
      </c>
      <c r="H359" s="3">
        <v>2.646745827138558E-3</v>
      </c>
    </row>
    <row r="360" spans="1:8" ht="14.1" customHeight="1" x14ac:dyDescent="0.25">
      <c r="A360" s="2" t="s">
        <v>268</v>
      </c>
      <c r="B360" s="2" t="s">
        <v>1083</v>
      </c>
      <c r="C360" s="2" t="s">
        <v>1084</v>
      </c>
      <c r="D360" s="2" t="s">
        <v>266</v>
      </c>
      <c r="E360" s="9">
        <v>802891.76300000004</v>
      </c>
      <c r="F360" s="9">
        <v>168929.6109885583</v>
      </c>
      <c r="G360" s="3">
        <v>21.04014747359642</v>
      </c>
      <c r="H360" s="3">
        <v>9.9542052269287959E-2</v>
      </c>
    </row>
    <row r="361" spans="1:8" ht="14.1" customHeight="1" x14ac:dyDescent="0.25">
      <c r="A361" s="2" t="s">
        <v>219</v>
      </c>
      <c r="B361" s="2" t="s">
        <v>1085</v>
      </c>
      <c r="C361" s="2" t="s">
        <v>1086</v>
      </c>
      <c r="D361" s="2" t="s">
        <v>1087</v>
      </c>
      <c r="E361" s="9">
        <v>2505609.892</v>
      </c>
      <c r="F361" s="9">
        <v>9751.1577825902314</v>
      </c>
      <c r="G361" s="3">
        <v>0.38917302385036368</v>
      </c>
      <c r="H361" s="3">
        <v>5.7458858278340184E-3</v>
      </c>
    </row>
    <row r="362" spans="1:8" ht="14.1" customHeight="1" x14ac:dyDescent="0.25">
      <c r="A362" s="2" t="s">
        <v>250</v>
      </c>
      <c r="B362" s="2" t="s">
        <v>1088</v>
      </c>
      <c r="C362" s="2" t="s">
        <v>1089</v>
      </c>
      <c r="D362" s="2" t="s">
        <v>7</v>
      </c>
      <c r="E362" s="9">
        <v>12202.772000000001</v>
      </c>
      <c r="F362" s="9">
        <v>7.5066924322771582</v>
      </c>
      <c r="G362" s="3">
        <v>6.1516288530812147E-2</v>
      </c>
      <c r="H362" s="3">
        <v>4.4233309133341438E-6</v>
      </c>
    </row>
    <row r="363" spans="1:8" ht="14.1" customHeight="1" x14ac:dyDescent="0.25">
      <c r="A363" s="2" t="s">
        <v>287</v>
      </c>
      <c r="B363" s="2" t="s">
        <v>1090</v>
      </c>
      <c r="C363" s="2" t="s">
        <v>1091</v>
      </c>
      <c r="D363" s="2" t="s">
        <v>10</v>
      </c>
      <c r="E363" s="9">
        <v>78461.315000000002</v>
      </c>
      <c r="F363" s="9">
        <v>4699.294191165849</v>
      </c>
      <c r="G363" s="3">
        <v>5.989313575952492</v>
      </c>
      <c r="H363" s="3">
        <v>2.769066863224322E-3</v>
      </c>
    </row>
    <row r="364" spans="1:8" ht="14.1" customHeight="1" x14ac:dyDescent="0.25">
      <c r="A364" s="2" t="s">
        <v>284</v>
      </c>
      <c r="B364" s="2" t="s">
        <v>1092</v>
      </c>
      <c r="C364" s="2" t="s">
        <v>1093</v>
      </c>
      <c r="D364" s="2" t="s">
        <v>39</v>
      </c>
      <c r="E364" s="9">
        <v>708060.64899999998</v>
      </c>
      <c r="F364" s="9">
        <v>87285.437679850656</v>
      </c>
      <c r="G364" s="3">
        <v>12.3273956550367</v>
      </c>
      <c r="H364" s="3">
        <v>5.1433088308383383E-2</v>
      </c>
    </row>
    <row r="365" spans="1:8" ht="14.1" customHeight="1" x14ac:dyDescent="0.25">
      <c r="A365" s="2" t="s">
        <v>344</v>
      </c>
      <c r="B365" s="2" t="s">
        <v>1094</v>
      </c>
      <c r="C365" s="2" t="s">
        <v>1095</v>
      </c>
      <c r="D365" s="2" t="s">
        <v>21</v>
      </c>
      <c r="E365" s="9">
        <v>748927.15899999999</v>
      </c>
      <c r="F365" s="9">
        <v>0</v>
      </c>
      <c r="G365" s="3">
        <v>0</v>
      </c>
      <c r="H365" s="3">
        <v>0</v>
      </c>
    </row>
    <row r="366" spans="1:8" ht="14.1" customHeight="1" x14ac:dyDescent="0.25">
      <c r="A366" s="2" t="s">
        <v>192</v>
      </c>
      <c r="B366" s="2" t="s">
        <v>1096</v>
      </c>
      <c r="C366" s="2" t="s">
        <v>1097</v>
      </c>
      <c r="D366" s="2" t="s">
        <v>32</v>
      </c>
      <c r="E366" s="9">
        <v>2825711.5109999999</v>
      </c>
      <c r="F366" s="9">
        <v>305522.90735914878</v>
      </c>
      <c r="G366" s="3">
        <v>10.812246974604509</v>
      </c>
      <c r="H366" s="3">
        <v>0.1800298777451696</v>
      </c>
    </row>
    <row r="367" spans="1:8" ht="14.1" customHeight="1" x14ac:dyDescent="0.25">
      <c r="A367" s="2" t="s">
        <v>277</v>
      </c>
      <c r="B367" s="2" t="s">
        <v>1098</v>
      </c>
      <c r="C367" s="2" t="s">
        <v>1099</v>
      </c>
      <c r="D367" s="2" t="s">
        <v>10</v>
      </c>
      <c r="E367" s="9">
        <v>227614.53700000001</v>
      </c>
      <c r="F367" s="9">
        <v>15660.280080535549</v>
      </c>
      <c r="G367" s="3">
        <v>6.8801757071146801</v>
      </c>
      <c r="H367" s="3">
        <v>9.2278459010595917E-3</v>
      </c>
    </row>
    <row r="368" spans="1:8" ht="14.1" customHeight="1" x14ac:dyDescent="0.25">
      <c r="A368" s="2" t="s">
        <v>229</v>
      </c>
      <c r="B368" s="2" t="s">
        <v>1100</v>
      </c>
      <c r="C368" s="2" t="s">
        <v>1101</v>
      </c>
      <c r="D368" s="2" t="s">
        <v>39</v>
      </c>
      <c r="E368" s="9">
        <v>1439093.4820000001</v>
      </c>
      <c r="F368" s="9">
        <v>776673.13439487829</v>
      </c>
      <c r="G368" s="3">
        <v>53.969609626435528</v>
      </c>
      <c r="H368" s="3">
        <v>0.45765592715017289</v>
      </c>
    </row>
    <row r="369" spans="1:8" ht="14.1" customHeight="1" x14ac:dyDescent="0.25">
      <c r="A369" s="2" t="s">
        <v>169</v>
      </c>
      <c r="B369" s="2" t="s">
        <v>1102</v>
      </c>
      <c r="C369" s="2" t="s">
        <v>1103</v>
      </c>
      <c r="D369" s="2" t="s">
        <v>32</v>
      </c>
      <c r="E369" s="9">
        <v>763495.01699999999</v>
      </c>
      <c r="F369" s="9">
        <v>82524.570975508264</v>
      </c>
      <c r="G369" s="3">
        <v>10.80878972855278</v>
      </c>
      <c r="H369" s="3">
        <v>4.8627739740080209E-2</v>
      </c>
    </row>
    <row r="370" spans="1:8" ht="14.1" customHeight="1" x14ac:dyDescent="0.25">
      <c r="A370" s="2" t="s">
        <v>259</v>
      </c>
      <c r="B370" s="2" t="s">
        <v>1104</v>
      </c>
      <c r="C370" s="2" t="s">
        <v>1105</v>
      </c>
      <c r="D370" s="2" t="s">
        <v>7</v>
      </c>
      <c r="E370" s="9">
        <v>10098579.842</v>
      </c>
      <c r="F370" s="9">
        <v>4879859.5002594572</v>
      </c>
      <c r="G370" s="3">
        <v>48.322235171762649</v>
      </c>
      <c r="H370" s="3">
        <v>2.875465269818851</v>
      </c>
    </row>
    <row r="371" spans="1:8" ht="14.1" customHeight="1" x14ac:dyDescent="0.25">
      <c r="A371" s="2" t="s">
        <v>353</v>
      </c>
      <c r="B371" s="2" t="s">
        <v>1106</v>
      </c>
      <c r="C371" s="2" t="s">
        <v>1107</v>
      </c>
      <c r="D371" s="2" t="s">
        <v>32</v>
      </c>
      <c r="E371" s="9">
        <v>162957.54399999999</v>
      </c>
      <c r="F371" s="9">
        <v>76738.444884318102</v>
      </c>
      <c r="G371" s="3">
        <v>47.091066176303023</v>
      </c>
      <c r="H371" s="3">
        <v>4.5218255384818468E-2</v>
      </c>
    </row>
    <row r="372" spans="1:8" ht="14.1" customHeight="1" x14ac:dyDescent="0.25">
      <c r="A372" s="2" t="s">
        <v>213</v>
      </c>
      <c r="B372" s="2" t="s">
        <v>1108</v>
      </c>
      <c r="C372" s="2" t="s">
        <v>1109</v>
      </c>
      <c r="D372" s="2" t="s">
        <v>32</v>
      </c>
      <c r="E372" s="9">
        <v>2076208.4580000001</v>
      </c>
      <c r="F372" s="9">
        <v>197638.95769656199</v>
      </c>
      <c r="G372" s="3">
        <v>9.5192251498169185</v>
      </c>
      <c r="H372" s="3">
        <v>0.1164590822316595</v>
      </c>
    </row>
    <row r="373" spans="1:8" ht="14.1" customHeight="1" x14ac:dyDescent="0.25">
      <c r="A373" s="2" t="s">
        <v>169</v>
      </c>
      <c r="B373" s="2" t="s">
        <v>1110</v>
      </c>
      <c r="C373" s="2" t="s">
        <v>1111</v>
      </c>
      <c r="D373" s="2" t="s">
        <v>32</v>
      </c>
      <c r="E373" s="9">
        <v>466275.28</v>
      </c>
      <c r="F373" s="9">
        <v>1053.659130033473</v>
      </c>
      <c r="G373" s="3">
        <v>0.22597362013990371</v>
      </c>
      <c r="H373" s="3">
        <v>6.2087038253410892E-4</v>
      </c>
    </row>
    <row r="374" spans="1:8" ht="14.1" customHeight="1" x14ac:dyDescent="0.25">
      <c r="A374" s="2" t="s">
        <v>277</v>
      </c>
      <c r="B374" s="2" t="s">
        <v>1112</v>
      </c>
      <c r="C374" s="2" t="s">
        <v>1113</v>
      </c>
      <c r="D374" s="2" t="s">
        <v>10</v>
      </c>
      <c r="E374" s="9">
        <v>232750.31</v>
      </c>
      <c r="F374" s="9">
        <v>5968.6508543374994</v>
      </c>
      <c r="G374" s="3">
        <v>2.5644008183436999</v>
      </c>
      <c r="H374" s="3">
        <v>3.517037373393552E-3</v>
      </c>
    </row>
    <row r="375" spans="1:8" ht="14.1" customHeight="1" x14ac:dyDescent="0.25">
      <c r="A375" s="2" t="s">
        <v>277</v>
      </c>
      <c r="B375" s="2" t="s">
        <v>1114</v>
      </c>
      <c r="C375" s="2" t="s">
        <v>1115</v>
      </c>
      <c r="D375" s="2" t="s">
        <v>10</v>
      </c>
      <c r="E375" s="9">
        <v>83180.937000000005</v>
      </c>
      <c r="F375" s="9">
        <v>63463.53128244984</v>
      </c>
      <c r="G375" s="3">
        <v>76.295763874900615</v>
      </c>
      <c r="H375" s="3">
        <v>3.7395990620845553E-2</v>
      </c>
    </row>
    <row r="376" spans="1:8" ht="14.1" customHeight="1" x14ac:dyDescent="0.25">
      <c r="A376" s="2" t="s">
        <v>270</v>
      </c>
      <c r="B376" s="2" t="s">
        <v>1116</v>
      </c>
      <c r="C376" s="2" t="s">
        <v>1117</v>
      </c>
      <c r="D376" s="2" t="s">
        <v>172</v>
      </c>
      <c r="E376" s="9">
        <v>2007349.7009999999</v>
      </c>
      <c r="F376" s="9">
        <v>36260.841899613137</v>
      </c>
      <c r="G376" s="3">
        <v>1.8064038309592541</v>
      </c>
      <c r="H376" s="3">
        <v>2.136676097563588E-2</v>
      </c>
    </row>
    <row r="377" spans="1:8" ht="14.1" customHeight="1" x14ac:dyDescent="0.25">
      <c r="A377" s="2" t="s">
        <v>162</v>
      </c>
      <c r="B377" s="2" t="s">
        <v>1118</v>
      </c>
      <c r="C377" s="2" t="s">
        <v>1119</v>
      </c>
      <c r="D377" s="2" t="s">
        <v>41</v>
      </c>
      <c r="E377" s="9">
        <v>519866.34</v>
      </c>
      <c r="F377" s="9">
        <v>258928.9550335118</v>
      </c>
      <c r="G377" s="3">
        <v>49.806832085630269</v>
      </c>
      <c r="H377" s="3">
        <v>0.15257431438543739</v>
      </c>
    </row>
    <row r="378" spans="1:8" ht="14.1" customHeight="1" x14ac:dyDescent="0.25">
      <c r="A378" s="2" t="s">
        <v>302</v>
      </c>
      <c r="B378" s="2" t="s">
        <v>1120</v>
      </c>
      <c r="C378" s="2" t="s">
        <v>1121</v>
      </c>
      <c r="D378" s="2" t="s">
        <v>280</v>
      </c>
      <c r="E378" s="9">
        <v>1890626.5930000001</v>
      </c>
      <c r="F378" s="9">
        <v>62387.843924389017</v>
      </c>
      <c r="G378" s="3">
        <v>3.299850121403058</v>
      </c>
      <c r="H378" s="3">
        <v>3.6762140068565791E-2</v>
      </c>
    </row>
    <row r="379" spans="1:8" ht="14.1" customHeight="1" x14ac:dyDescent="0.25">
      <c r="A379" s="2" t="s">
        <v>317</v>
      </c>
      <c r="B379" s="2" t="s">
        <v>1122</v>
      </c>
      <c r="C379" s="2" t="s">
        <v>1123</v>
      </c>
      <c r="D379" s="2" t="s">
        <v>41</v>
      </c>
      <c r="E379" s="9">
        <v>2356146.6970000002</v>
      </c>
      <c r="F379" s="9">
        <v>51877.251067735058</v>
      </c>
      <c r="G379" s="3">
        <v>2.2017835788318521</v>
      </c>
      <c r="H379" s="3">
        <v>3.05687558691011E-2</v>
      </c>
    </row>
    <row r="380" spans="1:8" ht="14.1" customHeight="1" x14ac:dyDescent="0.25">
      <c r="A380" s="2" t="s">
        <v>287</v>
      </c>
      <c r="B380" s="2" t="s">
        <v>1124</v>
      </c>
      <c r="C380" s="2" t="s">
        <v>1125</v>
      </c>
      <c r="D380" s="2" t="s">
        <v>10</v>
      </c>
      <c r="E380" s="9">
        <v>473824.79599999997</v>
      </c>
      <c r="F380" s="9">
        <v>54372.890341651073</v>
      </c>
      <c r="G380" s="3">
        <v>11.475315517605599</v>
      </c>
      <c r="H380" s="3">
        <v>3.2039315432908187E-2</v>
      </c>
    </row>
    <row r="381" spans="1:8" ht="14.1" customHeight="1" x14ac:dyDescent="0.25">
      <c r="A381" s="2" t="s">
        <v>205</v>
      </c>
      <c r="B381" s="2" t="s">
        <v>1126</v>
      </c>
      <c r="C381" s="2" t="s">
        <v>1127</v>
      </c>
      <c r="D381" s="2" t="s">
        <v>10</v>
      </c>
      <c r="E381" s="9">
        <v>1151637.2139999999</v>
      </c>
      <c r="F381" s="9">
        <v>12347.63731129579</v>
      </c>
      <c r="G381" s="3">
        <v>1.0721811661858811</v>
      </c>
      <c r="H381" s="3">
        <v>7.2758656783177209E-3</v>
      </c>
    </row>
    <row r="382" spans="1:8" ht="14.1" customHeight="1" x14ac:dyDescent="0.25">
      <c r="A382" s="2" t="s">
        <v>270</v>
      </c>
      <c r="B382" s="2" t="s">
        <v>1128</v>
      </c>
      <c r="C382" s="2" t="s">
        <v>1129</v>
      </c>
      <c r="D382" s="2" t="s">
        <v>172</v>
      </c>
      <c r="E382" s="9">
        <v>2492084.7570000002</v>
      </c>
      <c r="F382" s="9">
        <v>82521.03333856033</v>
      </c>
      <c r="G382" s="3">
        <v>3.311325311338932</v>
      </c>
      <c r="H382" s="3">
        <v>4.8625655181666082E-2</v>
      </c>
    </row>
    <row r="383" spans="1:8" ht="14.1" customHeight="1" x14ac:dyDescent="0.25">
      <c r="A383" s="2" t="s">
        <v>270</v>
      </c>
      <c r="B383" s="2" t="s">
        <v>1130</v>
      </c>
      <c r="C383" s="2" t="s">
        <v>1131</v>
      </c>
      <c r="D383" s="2" t="s">
        <v>10</v>
      </c>
      <c r="E383" s="9">
        <v>479470.77299999999</v>
      </c>
      <c r="F383" s="9">
        <v>30707.970530949511</v>
      </c>
      <c r="G383" s="3">
        <v>6.4045552430261514</v>
      </c>
      <c r="H383" s="3">
        <v>1.8094722350852781E-2</v>
      </c>
    </row>
    <row r="384" spans="1:8" ht="14.1" customHeight="1" x14ac:dyDescent="0.25">
      <c r="A384" s="2" t="s">
        <v>351</v>
      </c>
      <c r="B384" s="2" t="s">
        <v>350</v>
      </c>
      <c r="C384" s="2" t="s">
        <v>1132</v>
      </c>
      <c r="D384" s="2" t="s">
        <v>7</v>
      </c>
      <c r="E384" s="9">
        <v>844771.08200000005</v>
      </c>
      <c r="F384" s="9">
        <v>396536.7037322481</v>
      </c>
      <c r="G384" s="3">
        <v>46.94013705978729</v>
      </c>
      <c r="H384" s="3">
        <v>0.2336599075710892</v>
      </c>
    </row>
    <row r="385" spans="1:8" ht="14.1" customHeight="1" x14ac:dyDescent="0.25">
      <c r="A385" s="2" t="s">
        <v>305</v>
      </c>
      <c r="B385" s="2" t="s">
        <v>1133</v>
      </c>
      <c r="C385" s="2" t="s">
        <v>1134</v>
      </c>
      <c r="D385" s="2" t="s">
        <v>39</v>
      </c>
      <c r="E385" s="9">
        <v>1032164.898</v>
      </c>
      <c r="F385" s="9">
        <v>4289.0484480265777</v>
      </c>
      <c r="G385" s="3">
        <v>0.41553907290757108</v>
      </c>
      <c r="H385" s="3">
        <v>2.5273288815415959E-3</v>
      </c>
    </row>
    <row r="386" spans="1:8" ht="14.1" customHeight="1" x14ac:dyDescent="0.25">
      <c r="A386" s="2" t="s">
        <v>308</v>
      </c>
      <c r="B386" s="2" t="s">
        <v>1135</v>
      </c>
      <c r="C386" s="2" t="s">
        <v>1136</v>
      </c>
      <c r="D386" s="2" t="s">
        <v>41</v>
      </c>
      <c r="E386" s="9">
        <v>264442.92</v>
      </c>
      <c r="F386" s="9">
        <v>16631.963721335989</v>
      </c>
      <c r="G386" s="3">
        <v>6.2894343026222792</v>
      </c>
      <c r="H386" s="3">
        <v>9.8004120911772026E-3</v>
      </c>
    </row>
    <row r="387" spans="1:8" ht="14.1" customHeight="1" x14ac:dyDescent="0.25">
      <c r="A387" s="2" t="s">
        <v>277</v>
      </c>
      <c r="B387" s="2" t="s">
        <v>1137</v>
      </c>
      <c r="C387" s="2" t="s">
        <v>1138</v>
      </c>
      <c r="D387" s="2" t="s">
        <v>10</v>
      </c>
      <c r="E387" s="9">
        <v>59376.618999999999</v>
      </c>
      <c r="F387" s="9">
        <v>46897.436321129113</v>
      </c>
      <c r="G387" s="3">
        <v>78.98300225064871</v>
      </c>
      <c r="H387" s="3">
        <v>2.7634391805292331E-2</v>
      </c>
    </row>
    <row r="388" spans="1:8" ht="14.1" customHeight="1" x14ac:dyDescent="0.25">
      <c r="A388" s="2" t="s">
        <v>261</v>
      </c>
      <c r="B388" s="2" t="s">
        <v>1139</v>
      </c>
      <c r="C388" s="2" t="s">
        <v>1140</v>
      </c>
      <c r="D388" s="2" t="s">
        <v>21</v>
      </c>
      <c r="E388" s="9">
        <v>1092782.2</v>
      </c>
      <c r="F388" s="9">
        <v>162427.37158282439</v>
      </c>
      <c r="G388" s="3">
        <v>14.863654585774221</v>
      </c>
      <c r="H388" s="3">
        <v>9.5710596960740413E-2</v>
      </c>
    </row>
    <row r="389" spans="1:8" ht="14.1" customHeight="1" x14ac:dyDescent="0.25">
      <c r="A389" s="2" t="s">
        <v>189</v>
      </c>
      <c r="B389" s="2" t="s">
        <v>1141</v>
      </c>
      <c r="C389" s="2" t="s">
        <v>1142</v>
      </c>
      <c r="D389" s="2" t="s">
        <v>39</v>
      </c>
      <c r="E389" s="9">
        <v>423360.37800000003</v>
      </c>
      <c r="F389" s="9">
        <v>312507.6252769542</v>
      </c>
      <c r="G389" s="3">
        <v>73.815983147330371</v>
      </c>
      <c r="H389" s="3">
        <v>0.18414563431378861</v>
      </c>
    </row>
    <row r="390" spans="1:8" ht="14.1" customHeight="1" x14ac:dyDescent="0.25">
      <c r="A390" s="2" t="s">
        <v>179</v>
      </c>
      <c r="B390" s="2" t="s">
        <v>1143</v>
      </c>
      <c r="C390" s="2" t="s">
        <v>1144</v>
      </c>
      <c r="D390" s="2" t="s">
        <v>32</v>
      </c>
      <c r="E390" s="9">
        <v>2848753.4649999999</v>
      </c>
      <c r="F390" s="9">
        <v>736617.51322950679</v>
      </c>
      <c r="G390" s="3">
        <v>25.85753812253834</v>
      </c>
      <c r="H390" s="3">
        <v>0.43405308622495309</v>
      </c>
    </row>
    <row r="391" spans="1:8" ht="14.1" customHeight="1" x14ac:dyDescent="0.25">
      <c r="A391" s="2" t="s">
        <v>246</v>
      </c>
      <c r="B391" s="2" t="s">
        <v>1145</v>
      </c>
      <c r="C391" s="2" t="s">
        <v>1146</v>
      </c>
      <c r="D391" s="2" t="s">
        <v>32</v>
      </c>
      <c r="E391" s="9">
        <v>124892.955</v>
      </c>
      <c r="F391" s="9">
        <v>124892.95547940661</v>
      </c>
      <c r="G391" s="3">
        <v>100.000000383854</v>
      </c>
      <c r="H391" s="3">
        <v>7.3593380282151802E-2</v>
      </c>
    </row>
    <row r="392" spans="1:8" ht="14.1" customHeight="1" x14ac:dyDescent="0.25">
      <c r="A392" s="2" t="s">
        <v>171</v>
      </c>
      <c r="B392" s="2" t="s">
        <v>1147</v>
      </c>
      <c r="C392" s="2" t="s">
        <v>1148</v>
      </c>
      <c r="D392" s="2" t="s">
        <v>32</v>
      </c>
      <c r="E392" s="9">
        <v>966510.25300000003</v>
      </c>
      <c r="F392" s="9">
        <v>0</v>
      </c>
      <c r="G392" s="3">
        <v>0</v>
      </c>
      <c r="H392" s="3">
        <v>0</v>
      </c>
    </row>
    <row r="393" spans="1:8" ht="14.1" customHeight="1" x14ac:dyDescent="0.25">
      <c r="A393" s="2" t="s">
        <v>158</v>
      </c>
      <c r="B393" s="2" t="s">
        <v>1149</v>
      </c>
      <c r="C393" s="2" t="s">
        <v>1150</v>
      </c>
      <c r="D393" s="2" t="s">
        <v>21</v>
      </c>
      <c r="E393" s="9">
        <v>52719.968000000001</v>
      </c>
      <c r="F393" s="9">
        <v>52719.967902569821</v>
      </c>
      <c r="G393" s="3">
        <v>99.999999815193021</v>
      </c>
      <c r="H393" s="3">
        <v>3.1065328155809389E-2</v>
      </c>
    </row>
    <row r="394" spans="1:8" ht="14.1" customHeight="1" x14ac:dyDescent="0.25">
      <c r="A394" s="2" t="s">
        <v>342</v>
      </c>
      <c r="B394" s="2" t="s">
        <v>1151</v>
      </c>
      <c r="C394" s="2" t="s">
        <v>1152</v>
      </c>
      <c r="D394" s="2" t="s">
        <v>65</v>
      </c>
      <c r="E394" s="9">
        <v>1565077.425</v>
      </c>
      <c r="F394" s="9">
        <v>1349516.2300797279</v>
      </c>
      <c r="G394" s="3">
        <v>86.226803129546639</v>
      </c>
      <c r="H394" s="3">
        <v>0.79520466735667328</v>
      </c>
    </row>
    <row r="395" spans="1:8" ht="14.1" customHeight="1" x14ac:dyDescent="0.25">
      <c r="A395" s="2" t="s">
        <v>270</v>
      </c>
      <c r="B395" s="2" t="s">
        <v>1153</v>
      </c>
      <c r="C395" s="2" t="s">
        <v>1154</v>
      </c>
      <c r="D395" s="2" t="s">
        <v>32</v>
      </c>
      <c r="E395" s="9">
        <v>1991193.544</v>
      </c>
      <c r="F395" s="9">
        <v>26902.94923732353</v>
      </c>
      <c r="G395" s="3">
        <v>1.3510966484593789</v>
      </c>
      <c r="H395" s="3">
        <v>1.585260726943271E-2</v>
      </c>
    </row>
    <row r="396" spans="1:8" ht="14.1" customHeight="1" x14ac:dyDescent="0.25">
      <c r="A396" s="2" t="s">
        <v>270</v>
      </c>
      <c r="B396" s="2" t="s">
        <v>1155</v>
      </c>
      <c r="C396" s="2" t="s">
        <v>1156</v>
      </c>
      <c r="D396" s="2" t="s">
        <v>32</v>
      </c>
      <c r="E396" s="9">
        <v>2852103.9720000001</v>
      </c>
      <c r="F396" s="9">
        <v>0</v>
      </c>
      <c r="G396" s="3">
        <v>0</v>
      </c>
      <c r="H396" s="3">
        <v>0</v>
      </c>
    </row>
    <row r="397" spans="1:8" ht="14.1" customHeight="1" x14ac:dyDescent="0.25">
      <c r="A397" s="2" t="s">
        <v>270</v>
      </c>
      <c r="B397" s="2" t="s">
        <v>1157</v>
      </c>
      <c r="C397" s="2" t="s">
        <v>1158</v>
      </c>
      <c r="D397" s="2" t="s">
        <v>172</v>
      </c>
      <c r="E397" s="9">
        <v>4790086.5259999996</v>
      </c>
      <c r="F397" s="9">
        <v>214137.05158807451</v>
      </c>
      <c r="G397" s="3">
        <v>4.4704213676676821</v>
      </c>
      <c r="H397" s="3">
        <v>0.12618061130452171</v>
      </c>
    </row>
    <row r="398" spans="1:8" ht="14.1" customHeight="1" x14ac:dyDescent="0.25">
      <c r="A398" s="2" t="s">
        <v>263</v>
      </c>
      <c r="B398" s="2" t="s">
        <v>1159</v>
      </c>
      <c r="C398" s="2" t="s">
        <v>1160</v>
      </c>
      <c r="D398" s="2" t="s">
        <v>7</v>
      </c>
      <c r="E398" s="9">
        <v>3981719.81</v>
      </c>
      <c r="F398" s="9">
        <v>608505.25042852189</v>
      </c>
      <c r="G398" s="3">
        <v>15.282472887727421</v>
      </c>
      <c r="H398" s="3">
        <v>0.35856272378674131</v>
      </c>
    </row>
    <row r="399" spans="1:8" ht="14.1" customHeight="1" x14ac:dyDescent="0.25">
      <c r="A399" s="2" t="s">
        <v>272</v>
      </c>
      <c r="B399" s="2" t="s">
        <v>1161</v>
      </c>
      <c r="C399" s="2" t="s">
        <v>1162</v>
      </c>
      <c r="D399" s="2" t="s">
        <v>7</v>
      </c>
      <c r="E399" s="9">
        <v>6985514.0410000002</v>
      </c>
      <c r="F399" s="9">
        <v>440932.93363143748</v>
      </c>
      <c r="G399" s="3">
        <v>6.3121043210775136</v>
      </c>
      <c r="H399" s="3">
        <v>0.25982045936140707</v>
      </c>
    </row>
    <row r="400" spans="1:8" ht="14.1" customHeight="1" x14ac:dyDescent="0.25">
      <c r="A400" s="2" t="s">
        <v>270</v>
      </c>
      <c r="B400" s="2" t="s">
        <v>1163</v>
      </c>
      <c r="C400" s="2" t="s">
        <v>1164</v>
      </c>
      <c r="D400" s="2" t="s">
        <v>10</v>
      </c>
      <c r="E400" s="9">
        <v>1074308.7080000001</v>
      </c>
      <c r="F400" s="9">
        <v>64746.363247910071</v>
      </c>
      <c r="G400" s="3">
        <v>6.0267931150298439</v>
      </c>
      <c r="H400" s="3">
        <v>3.8151901475143343E-2</v>
      </c>
    </row>
    <row r="401" spans="1:8" ht="14.1" customHeight="1" x14ac:dyDescent="0.25">
      <c r="A401" s="2" t="s">
        <v>187</v>
      </c>
      <c r="B401" s="2" t="s">
        <v>1165</v>
      </c>
      <c r="C401" s="2" t="s">
        <v>1166</v>
      </c>
      <c r="D401" s="2" t="s">
        <v>32</v>
      </c>
      <c r="E401" s="9">
        <v>89179.335999999996</v>
      </c>
      <c r="F401" s="9">
        <v>66617.570876530415</v>
      </c>
      <c r="G401" s="3">
        <v>74.700680521472393</v>
      </c>
      <c r="H401" s="3">
        <v>3.9254513660685122E-2</v>
      </c>
    </row>
    <row r="402" spans="1:8" ht="14.1" customHeight="1" x14ac:dyDescent="0.25">
      <c r="A402" s="2" t="s">
        <v>205</v>
      </c>
      <c r="B402" s="2" t="s">
        <v>1167</v>
      </c>
      <c r="C402" s="2" t="s">
        <v>1168</v>
      </c>
      <c r="D402" s="2" t="s">
        <v>10</v>
      </c>
      <c r="E402" s="9">
        <v>504561.53</v>
      </c>
      <c r="F402" s="9">
        <v>63307.269709122978</v>
      </c>
      <c r="G402" s="3">
        <v>12.54698702636386</v>
      </c>
      <c r="H402" s="3">
        <v>3.7303913230690197E-2</v>
      </c>
    </row>
    <row r="403" spans="1:8" ht="14.1" customHeight="1" x14ac:dyDescent="0.25">
      <c r="A403" s="2" t="s">
        <v>224</v>
      </c>
      <c r="B403" s="2" t="s">
        <v>1169</v>
      </c>
      <c r="C403" s="2" t="s">
        <v>1170</v>
      </c>
      <c r="D403" s="2" t="s">
        <v>225</v>
      </c>
      <c r="E403" s="9">
        <v>41144.213000000003</v>
      </c>
      <c r="F403" s="9">
        <v>40727.228575887289</v>
      </c>
      <c r="G403" s="3">
        <v>98.986529590169297</v>
      </c>
      <c r="H403" s="3">
        <v>2.3998586701053821E-2</v>
      </c>
    </row>
    <row r="404" spans="1:8" ht="14.1" customHeight="1" x14ac:dyDescent="0.25">
      <c r="A404" s="2" t="s">
        <v>183</v>
      </c>
      <c r="B404" s="2" t="s">
        <v>1171</v>
      </c>
      <c r="C404" s="2" t="s">
        <v>1172</v>
      </c>
      <c r="D404" s="2" t="s">
        <v>21</v>
      </c>
      <c r="E404" s="9">
        <v>3137972.9109999998</v>
      </c>
      <c r="F404" s="9">
        <v>1076685.9902544799</v>
      </c>
      <c r="G404" s="3">
        <v>34.311513221806777</v>
      </c>
      <c r="H404" s="3">
        <v>0.63443899794915515</v>
      </c>
    </row>
    <row r="405" spans="1:8" ht="14.1" customHeight="1" x14ac:dyDescent="0.25">
      <c r="A405" s="2" t="s">
        <v>274</v>
      </c>
      <c r="B405" s="2" t="s">
        <v>1173</v>
      </c>
      <c r="C405" s="2" t="s">
        <v>1174</v>
      </c>
      <c r="D405" s="2" t="s">
        <v>285</v>
      </c>
      <c r="E405" s="9">
        <v>2145379.5759999999</v>
      </c>
      <c r="F405" s="9">
        <v>56416.055531357553</v>
      </c>
      <c r="G405" s="3">
        <v>2.6296537993777171</v>
      </c>
      <c r="H405" s="3">
        <v>3.3243253895315038E-2</v>
      </c>
    </row>
    <row r="406" spans="1:8" ht="14.1" customHeight="1" x14ac:dyDescent="0.25">
      <c r="A406" s="2" t="s">
        <v>319</v>
      </c>
      <c r="B406" s="2" t="s">
        <v>1175</v>
      </c>
      <c r="C406" s="2" t="s">
        <v>1176</v>
      </c>
      <c r="D406" s="2" t="s">
        <v>39</v>
      </c>
      <c r="E406" s="9">
        <v>1677110.673</v>
      </c>
      <c r="F406" s="9">
        <v>556720.2800630501</v>
      </c>
      <c r="G406" s="3">
        <v>33.195202262185482</v>
      </c>
      <c r="H406" s="3">
        <v>0.32804834447385423</v>
      </c>
    </row>
    <row r="407" spans="1:8" ht="14.1" customHeight="1" x14ac:dyDescent="0.25">
      <c r="A407" s="2" t="s">
        <v>327</v>
      </c>
      <c r="B407" s="2" t="s">
        <v>1177</v>
      </c>
      <c r="C407" s="2" t="s">
        <v>1178</v>
      </c>
      <c r="D407" s="2" t="s">
        <v>10</v>
      </c>
      <c r="E407" s="9">
        <v>687622.04399999999</v>
      </c>
      <c r="F407" s="9">
        <v>529983.14131529909</v>
      </c>
      <c r="G407" s="3">
        <v>77.074774716690015</v>
      </c>
      <c r="H407" s="3">
        <v>0.31229344130924502</v>
      </c>
    </row>
    <row r="408" spans="1:8" ht="14.1" customHeight="1" x14ac:dyDescent="0.25">
      <c r="A408" s="2" t="s">
        <v>287</v>
      </c>
      <c r="B408" s="2" t="s">
        <v>1179</v>
      </c>
      <c r="C408" s="2" t="s">
        <v>1180</v>
      </c>
      <c r="D408" s="2" t="s">
        <v>10</v>
      </c>
      <c r="E408" s="9">
        <v>106928.57799999999</v>
      </c>
      <c r="F408" s="9">
        <v>20517.92514467207</v>
      </c>
      <c r="G408" s="3">
        <v>19.188439169809278</v>
      </c>
      <c r="H408" s="3">
        <v>1.2090221277704941E-2</v>
      </c>
    </row>
    <row r="409" spans="1:8" ht="14.1" customHeight="1" x14ac:dyDescent="0.25">
      <c r="A409" s="2" t="s">
        <v>314</v>
      </c>
      <c r="B409" s="2" t="s">
        <v>1181</v>
      </c>
      <c r="C409" s="2" t="s">
        <v>1182</v>
      </c>
      <c r="D409" s="2" t="s">
        <v>172</v>
      </c>
      <c r="E409" s="9">
        <v>325603.092</v>
      </c>
      <c r="F409" s="9">
        <v>46938.119807101582</v>
      </c>
      <c r="G409" s="3">
        <v>14.415747565167949</v>
      </c>
      <c r="H409" s="3">
        <v>2.7658364616592081E-2</v>
      </c>
    </row>
    <row r="410" spans="1:8" ht="14.1" customHeight="1" x14ac:dyDescent="0.25">
      <c r="A410" s="2" t="s">
        <v>246</v>
      </c>
      <c r="B410" s="2" t="s">
        <v>1183</v>
      </c>
      <c r="C410" s="2" t="s">
        <v>1184</v>
      </c>
      <c r="D410" s="2" t="s">
        <v>32</v>
      </c>
      <c r="E410" s="9">
        <v>2375109.5959999999</v>
      </c>
      <c r="F410" s="9">
        <v>0</v>
      </c>
      <c r="G410" s="3">
        <v>0</v>
      </c>
      <c r="H410" s="3">
        <v>0</v>
      </c>
    </row>
    <row r="411" spans="1:8" ht="14.1" customHeight="1" x14ac:dyDescent="0.25">
      <c r="A411" s="2" t="s">
        <v>171</v>
      </c>
      <c r="B411" s="2" t="s">
        <v>1185</v>
      </c>
      <c r="C411" s="2" t="s">
        <v>1186</v>
      </c>
      <c r="D411" s="2" t="s">
        <v>32</v>
      </c>
      <c r="E411" s="9">
        <v>749784.93900000001</v>
      </c>
      <c r="F411" s="9">
        <v>59656.640070161979</v>
      </c>
      <c r="G411" s="3">
        <v>7.9565001865370846</v>
      </c>
      <c r="H411" s="3">
        <v>3.5152773686765733E-2</v>
      </c>
    </row>
    <row r="412" spans="1:8" ht="14.1" customHeight="1" x14ac:dyDescent="0.25">
      <c r="A412" s="2" t="s">
        <v>181</v>
      </c>
      <c r="B412" s="2" t="s">
        <v>1187</v>
      </c>
      <c r="C412" s="2" t="s">
        <v>1188</v>
      </c>
      <c r="D412" s="2" t="s">
        <v>7</v>
      </c>
      <c r="E412" s="9">
        <v>6049673.8609999996</v>
      </c>
      <c r="F412" s="9">
        <v>778646.62131533166</v>
      </c>
      <c r="G412" s="3">
        <v>12.87088592221437</v>
      </c>
      <c r="H412" s="3">
        <v>0.45881880757734578</v>
      </c>
    </row>
    <row r="413" spans="1:8" ht="14.1" customHeight="1" x14ac:dyDescent="0.25">
      <c r="A413" s="2" t="s">
        <v>169</v>
      </c>
      <c r="B413" s="2" t="s">
        <v>1189</v>
      </c>
      <c r="C413" s="2" t="s">
        <v>1190</v>
      </c>
      <c r="D413" s="2" t="s">
        <v>32</v>
      </c>
      <c r="E413" s="9">
        <v>397935.41600000003</v>
      </c>
      <c r="F413" s="9">
        <v>0</v>
      </c>
      <c r="G413" s="3">
        <v>0</v>
      </c>
      <c r="H413" s="3">
        <v>0</v>
      </c>
    </row>
    <row r="414" spans="1:8" ht="14.1" customHeight="1" x14ac:dyDescent="0.25">
      <c r="A414" s="2" t="s">
        <v>330</v>
      </c>
      <c r="B414" s="2" t="s">
        <v>1191</v>
      </c>
      <c r="C414" s="2" t="s">
        <v>1192</v>
      </c>
      <c r="D414" s="2" t="s">
        <v>21</v>
      </c>
      <c r="E414" s="9">
        <v>1600892.895</v>
      </c>
      <c r="F414" s="9">
        <v>0</v>
      </c>
      <c r="G414" s="3">
        <v>0</v>
      </c>
      <c r="H414" s="3">
        <v>0</v>
      </c>
    </row>
    <row r="415" spans="1:8" ht="14.1" customHeight="1" x14ac:dyDescent="0.25">
      <c r="A415" s="2" t="s">
        <v>327</v>
      </c>
      <c r="B415" s="2" t="s">
        <v>1193</v>
      </c>
      <c r="C415" s="2" t="s">
        <v>1194</v>
      </c>
      <c r="D415" s="2" t="s">
        <v>10</v>
      </c>
      <c r="E415" s="9">
        <v>211493.63800000001</v>
      </c>
      <c r="F415" s="9">
        <v>34168.58192771754</v>
      </c>
      <c r="G415" s="3">
        <v>16.155843859339889</v>
      </c>
      <c r="H415" s="3">
        <v>2.0133893331742019E-2</v>
      </c>
    </row>
    <row r="416" spans="1:8" ht="14.1" customHeight="1" x14ac:dyDescent="0.25">
      <c r="A416" s="2" t="s">
        <v>291</v>
      </c>
      <c r="B416" s="2" t="s">
        <v>1195</v>
      </c>
      <c r="C416" s="2" t="s">
        <v>1196</v>
      </c>
      <c r="D416" s="2" t="s">
        <v>39</v>
      </c>
      <c r="E416" s="9">
        <v>1148966.1070000001</v>
      </c>
      <c r="F416" s="9">
        <v>895084.30465690745</v>
      </c>
      <c r="G416" s="3">
        <v>77.903455916033153</v>
      </c>
      <c r="H416" s="3">
        <v>0.52742990478804708</v>
      </c>
    </row>
    <row r="417" spans="1:8" ht="14.1" customHeight="1" x14ac:dyDescent="0.25">
      <c r="A417" s="2" t="s">
        <v>287</v>
      </c>
      <c r="B417" s="2" t="s">
        <v>1197</v>
      </c>
      <c r="C417" s="2" t="s">
        <v>1198</v>
      </c>
      <c r="D417" s="2" t="s">
        <v>10</v>
      </c>
      <c r="E417" s="9">
        <v>65134.758999999998</v>
      </c>
      <c r="F417" s="9">
        <v>386.65351887503971</v>
      </c>
      <c r="G417" s="3">
        <v>0.59362086359303134</v>
      </c>
      <c r="H417" s="3">
        <v>2.2783622457148831E-4</v>
      </c>
    </row>
    <row r="418" spans="1:8" ht="14.1" customHeight="1" x14ac:dyDescent="0.25">
      <c r="A418" s="2" t="s">
        <v>238</v>
      </c>
      <c r="B418" s="2" t="s">
        <v>1199</v>
      </c>
      <c r="C418" s="2" t="s">
        <v>1200</v>
      </c>
      <c r="D418" s="2" t="s">
        <v>39</v>
      </c>
      <c r="E418" s="9">
        <v>4828388.6279999996</v>
      </c>
      <c r="F418" s="9">
        <v>2651486.1524381912</v>
      </c>
      <c r="G418" s="3">
        <v>54.914514069189188</v>
      </c>
      <c r="H418" s="3">
        <v>1.5623925943638859</v>
      </c>
    </row>
    <row r="419" spans="1:8" ht="14.1" customHeight="1" x14ac:dyDescent="0.25">
      <c r="A419" s="2" t="s">
        <v>327</v>
      </c>
      <c r="B419" s="2" t="s">
        <v>1201</v>
      </c>
      <c r="C419" s="2" t="s">
        <v>1202</v>
      </c>
      <c r="D419" s="2" t="s">
        <v>10</v>
      </c>
      <c r="E419" s="9">
        <v>461327.05800000002</v>
      </c>
      <c r="F419" s="9">
        <v>276240.68036758678</v>
      </c>
      <c r="G419" s="3">
        <v>59.879574713258393</v>
      </c>
      <c r="H419" s="3">
        <v>0.16277527712957571</v>
      </c>
    </row>
    <row r="420" spans="1:8" ht="14.1" customHeight="1" x14ac:dyDescent="0.25">
      <c r="A420" s="2" t="s">
        <v>177</v>
      </c>
      <c r="B420" s="2" t="s">
        <v>1203</v>
      </c>
      <c r="C420" s="2" t="s">
        <v>1204</v>
      </c>
      <c r="D420" s="2" t="s">
        <v>21</v>
      </c>
      <c r="E420" s="9">
        <v>2931061.07</v>
      </c>
      <c r="F420" s="9">
        <v>361518.60501621041</v>
      </c>
      <c r="G420" s="3">
        <v>12.33405228967851</v>
      </c>
      <c r="H420" s="3">
        <v>0.21302543506881719</v>
      </c>
    </row>
    <row r="421" spans="1:8" ht="14.1" customHeight="1" x14ac:dyDescent="0.25">
      <c r="A421" s="2" t="s">
        <v>277</v>
      </c>
      <c r="B421" s="2" t="s">
        <v>1205</v>
      </c>
      <c r="C421" s="2" t="s">
        <v>1206</v>
      </c>
      <c r="D421" s="2" t="s">
        <v>10</v>
      </c>
      <c r="E421" s="9">
        <v>45815.423000000003</v>
      </c>
      <c r="F421" s="9">
        <v>32732.755617808351</v>
      </c>
      <c r="G421" s="3">
        <v>71.444839912988144</v>
      </c>
      <c r="H421" s="3">
        <v>1.9287830307301149E-2</v>
      </c>
    </row>
    <row r="422" spans="1:8" ht="15.75" thickBot="1" x14ac:dyDescent="0.3">
      <c r="A422" s="4" t="s">
        <v>97</v>
      </c>
      <c r="B422" s="4"/>
      <c r="C422" s="4"/>
      <c r="D422" s="4"/>
      <c r="E422" s="5">
        <f>SUM(E3:E421)</f>
        <v>768928319.4789995</v>
      </c>
      <c r="F422" s="5">
        <f>SUM(F3:F421)</f>
        <v>169706779.3333801</v>
      </c>
      <c r="G422" s="10">
        <f>SUM(F422/E422) * 100</f>
        <v>22.070559119004464</v>
      </c>
      <c r="H422" s="10">
        <f>SUM(H3:H421)</f>
        <v>100.00000000000001</v>
      </c>
    </row>
    <row r="423" spans="1:8" x14ac:dyDescent="0.25">
      <c r="A423" s="37" t="s">
        <v>147</v>
      </c>
      <c r="B423" s="9">
        <v>768828858.655707</v>
      </c>
    </row>
    <row r="424" spans="1:8" x14ac:dyDescent="0.25">
      <c r="A424" s="12"/>
      <c r="B424" s="36"/>
    </row>
    <row r="426" spans="1:8" ht="35.25" customHeight="1" x14ac:dyDescent="0.25">
      <c r="A426" s="41" t="s">
        <v>1225</v>
      </c>
      <c r="B426" s="40"/>
      <c r="C426" s="40"/>
      <c r="D426" s="40"/>
      <c r="E426" s="40"/>
      <c r="F426" s="40"/>
    </row>
    <row r="427" spans="1:8" ht="46.5" customHeight="1" x14ac:dyDescent="0.25">
      <c r="A427" s="41" t="s">
        <v>1223</v>
      </c>
      <c r="B427" s="40"/>
      <c r="C427" s="40"/>
      <c r="D427" s="40"/>
      <c r="E427" s="40"/>
      <c r="F427" s="40"/>
    </row>
    <row r="428" spans="1:8" ht="25.5" customHeight="1" x14ac:dyDescent="0.25">
      <c r="A428" s="41" t="s">
        <v>1222</v>
      </c>
      <c r="B428" s="40"/>
      <c r="C428" s="40"/>
      <c r="D428" s="40"/>
      <c r="E428" s="40"/>
      <c r="F428" s="40"/>
    </row>
    <row r="429" spans="1:8" x14ac:dyDescent="0.25">
      <c r="A429" s="40"/>
      <c r="B429" s="40"/>
      <c r="C429" s="40"/>
      <c r="D429" s="40"/>
      <c r="E429" s="40"/>
      <c r="F429" s="40"/>
    </row>
    <row r="430" spans="1:8" ht="30.75" customHeight="1" x14ac:dyDescent="0.25">
      <c r="A430" s="41" t="s">
        <v>357</v>
      </c>
      <c r="B430" s="41"/>
      <c r="C430" s="13"/>
      <c r="D430" s="13"/>
      <c r="E430" s="13"/>
      <c r="F430" s="13"/>
    </row>
  </sheetData>
  <mergeCells count="6">
    <mergeCell ref="A1:H1"/>
    <mergeCell ref="A427:F427"/>
    <mergeCell ref="A428:F428"/>
    <mergeCell ref="A430:B430"/>
    <mergeCell ref="A429:F429"/>
    <mergeCell ref="A426:F426"/>
  </mergeCells>
  <pageMargins left="0.7" right="0.7" top="0.75" bottom="0.75" header="0.3" footer="0.3"/>
  <pageSetup paperSize="9" orientation="portrait" r:id="rId1"/>
  <ignoredErrors>
    <ignoredError sqref="G422"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A4F77836BB3D4E8942C3BA8310D952" ma:contentTypeVersion="14" ma:contentTypeDescription="Create a new document." ma:contentTypeScope="" ma:versionID="d2575a541de4f6f4146f87d786cddbb4">
  <xsd:schema xmlns:xsd="http://www.w3.org/2001/XMLSchema" xmlns:xs="http://www.w3.org/2001/XMLSchema" xmlns:p="http://schemas.microsoft.com/office/2006/metadata/properties" xmlns:ns2="b98728ac-f998-415c-abee-6b046fb1441e" xmlns:ns3="81c01dc6-2c49-4730-b140-874c95cac377" xmlns:ns4="d869c146-c82e-4435-92e4-da91542262fd" targetNamespace="http://schemas.microsoft.com/office/2006/metadata/properties" ma:root="true" ma:fieldsID="4bfd732ecb4d90ac731c1f8eb5d3dcdc" ns2:_="" ns3:_="" ns4:_="">
    <xsd:import namespace="b98728ac-f998-415c-abee-6b046fb1441e"/>
    <xsd:import namespace="81c01dc6-2c49-4730-b140-874c95cac377"/>
    <xsd:import namespace="d869c146-c82e-4435-92e4-da91542262f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4:SharedWithUsers" minOccurs="0"/>
                <xsd:element ref="ns4:SharedWithDetails" minOccurs="0"/>
                <xsd:element ref="ns2:MediaServiceLocatio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6b5be2-cf4e-43ec-8734-a0fb5251e776}" ma:internalName="TaxCatchAll" ma:showField="CatchAllData" ma:web="d869c146-c82e-4435-92e4-da9154226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98728ac-f998-415c-abee-6b046fb1441e">
      <Terms xmlns="http://schemas.microsoft.com/office/infopath/2007/PartnerControls"/>
    </lcf76f155ced4ddcb4097134ff3c332f>
    <TaxCatchAll xmlns="81c01dc6-2c49-4730-b140-874c95cac377" xsi:nil="true"/>
  </documentManagement>
</p:properties>
</file>

<file path=customXml/itemProps1.xml><?xml version="1.0" encoding="utf-8"?>
<ds:datastoreItem xmlns:ds="http://schemas.openxmlformats.org/officeDocument/2006/customXml" ds:itemID="{93122660-7A31-4D8B-BC6E-E61BD656E8D0}"/>
</file>

<file path=customXml/itemProps2.xml><?xml version="1.0" encoding="utf-8"?>
<ds:datastoreItem xmlns:ds="http://schemas.openxmlformats.org/officeDocument/2006/customXml" ds:itemID="{569DF604-BF0A-4CE5-9B07-42551F3AE117}"/>
</file>

<file path=customXml/itemProps3.xml><?xml version="1.0" encoding="utf-8"?>
<ds:datastoreItem xmlns:ds="http://schemas.openxmlformats.org/officeDocument/2006/customXml" ds:itemID="{24914FDE-C80F-46A0-826F-2EC1ED0206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Type</vt:lpstr>
      <vt:lpstr>Jurisdiction</vt:lpstr>
      <vt:lpstr>Governance</vt:lpstr>
      <vt:lpstr>IUCN Category</vt:lpstr>
      <vt:lpstr>IBRA Bioregions</vt:lpstr>
      <vt:lpstr>Bioregion by IUCN</vt:lpstr>
      <vt:lpstr>IBRA Subregions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Terrestrial Protected Areas in Australia (2022)</dc:title>
  <dc:creator>Department of Climate Change, Energy, the Environment and Water</dc:creator>
  <cp:lastModifiedBy>Durack, Bec</cp:lastModifiedBy>
  <dcterms:created xsi:type="dcterms:W3CDTF">2023-02-28T01:03:29Z</dcterms:created>
  <dcterms:modified xsi:type="dcterms:W3CDTF">2023-11-21T00:49:08Z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0x010100E3A4F77836BB3D4E8942C3BA8310D952</vt:lpwstr>
  </property>
</Properties>
</file>