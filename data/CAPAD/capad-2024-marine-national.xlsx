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cceew2.sharepoint.com/sites/DCCEEW-DSaD/Shared Documents/Web Pubs/DCCEEW/Environment/Land/"/>
    </mc:Choice>
  </mc:AlternateContent>
  <xr:revisionPtr revIDLastSave="1" documentId="13_ncr:1_{187F0DBE-0F45-4C15-8D58-04B1A68D7497}" xr6:coauthVersionLast="47" xr6:coauthVersionMax="47" xr10:uidLastSave="{8D667B80-15CD-47B9-A249-DFE7AEB4D0B9}"/>
  <bookViews>
    <workbookView xWindow="-103" yWindow="-103" windowWidth="16663" windowHeight="8743" activeTab="2" xr2:uid="{00000000-000D-0000-FFFF-FFFF00000000}"/>
  </bookViews>
  <sheets>
    <sheet name="Type" sheetId="1" r:id="rId1"/>
    <sheet name="IUCN" sheetId="2" r:id="rId2"/>
    <sheet name="Jurisdi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D11" i="3" l="1"/>
  <c r="B45" i="1" l="1"/>
  <c r="C45" i="1"/>
  <c r="C11" i="3"/>
  <c r="C14" i="3" s="1"/>
  <c r="C25" i="1" l="1"/>
  <c r="B28" i="1" s="1"/>
  <c r="D11" i="2"/>
  <c r="D14" i="2" s="1"/>
  <c r="B11" i="2" l="1"/>
  <c r="C11" i="2"/>
  <c r="B11" i="3"/>
</calcChain>
</file>

<file path=xl/sharedStrings.xml><?xml version="1.0" encoding="utf-8"?>
<sst xmlns="http://schemas.openxmlformats.org/spreadsheetml/2006/main" count="141" uniqueCount="86">
  <si>
    <t>Type</t>
  </si>
  <si>
    <r>
      <rPr>
        <b/>
        <vertAlign val="superscript"/>
        <sz val="10"/>
        <color theme="1"/>
        <rFont val="Arial"/>
        <family val="2"/>
      </rPr>
      <t>2</t>
    </r>
    <r>
      <rPr>
        <b/>
        <sz val="10"/>
        <color theme="1"/>
        <rFont val="Arial"/>
        <family val="2"/>
      </rPr>
      <t>Area (ha)</t>
    </r>
  </si>
  <si>
    <t>IUCN Category</t>
  </si>
  <si>
    <r>
      <rPr>
        <b/>
        <sz val="10"/>
        <color theme="1"/>
        <rFont val="Arial"/>
        <family val="2"/>
      </rPr>
      <t>Management Zones</t>
    </r>
    <r>
      <rPr>
        <b/>
        <vertAlign val="superscript"/>
        <sz val="10"/>
        <color theme="1"/>
        <rFont val="Arial"/>
        <family val="2"/>
      </rPr>
      <t>2.</t>
    </r>
  </si>
  <si>
    <r>
      <rPr>
        <b/>
        <vertAlign val="superscript"/>
        <sz val="10"/>
        <color theme="1"/>
        <rFont val="Arial"/>
        <family val="2"/>
      </rPr>
      <t>3</t>
    </r>
    <r>
      <rPr>
        <b/>
        <sz val="10"/>
        <color theme="1"/>
        <rFont val="Arial"/>
        <family val="2"/>
      </rPr>
      <t>Area (ha)</t>
    </r>
  </si>
  <si>
    <t>VI</t>
  </si>
  <si>
    <t>II</t>
  </si>
  <si>
    <t>V</t>
  </si>
  <si>
    <t>III</t>
  </si>
  <si>
    <t>Ia</t>
  </si>
  <si>
    <t>IV</t>
  </si>
  <si>
    <t>Total</t>
  </si>
  <si>
    <t>Jurisdiction</t>
  </si>
  <si>
    <t>NSW</t>
  </si>
  <si>
    <t>NT</t>
  </si>
  <si>
    <t>QLD</t>
  </si>
  <si>
    <t>SA</t>
  </si>
  <si>
    <t>TAS</t>
  </si>
  <si>
    <t>VIC</t>
  </si>
  <si>
    <t>WA</t>
  </si>
  <si>
    <r>
      <rPr>
        <b/>
        <vertAlign val="superscript"/>
        <sz val="10"/>
        <color theme="1"/>
        <rFont val="Arial"/>
        <family val="2"/>
      </rPr>
      <t>1</t>
    </r>
    <r>
      <rPr>
        <b/>
        <sz val="10"/>
        <color theme="1"/>
        <rFont val="Arial"/>
        <family val="2"/>
      </rPr>
      <t>Number</t>
    </r>
  </si>
  <si>
    <t>Jurisdiction(s)</t>
  </si>
  <si>
    <t>5(1)(g) Reserve</t>
  </si>
  <si>
    <t>Aquatic Reserve</t>
  </si>
  <si>
    <t>Australian Marine Park</t>
  </si>
  <si>
    <t>COM</t>
  </si>
  <si>
    <t>Commonwealth Marine Reserve</t>
  </si>
  <si>
    <t>Conservation Area</t>
  </si>
  <si>
    <t>Conservation Park</t>
  </si>
  <si>
    <t>Fish Habitat Area (A)</t>
  </si>
  <si>
    <t>Fish Habitat Area (B)</t>
  </si>
  <si>
    <t>Game Reserve</t>
  </si>
  <si>
    <t>Marine Conservation Area</t>
  </si>
  <si>
    <t>Marine Management Area</t>
  </si>
  <si>
    <t>Marine National Park</t>
  </si>
  <si>
    <t>Marine Nature Reserve</t>
  </si>
  <si>
    <t>TAS,WA</t>
  </si>
  <si>
    <t>Marine Park</t>
  </si>
  <si>
    <t>Marine Sanctuary</t>
  </si>
  <si>
    <t>National Park</t>
  </si>
  <si>
    <t>National Parks Act Schedule 3 Other Parks</t>
  </si>
  <si>
    <t>National Parks Act Schedule 4 park or reserve</t>
  </si>
  <si>
    <t>Nature Reserve</t>
  </si>
  <si>
    <t>WA,TAS</t>
  </si>
  <si>
    <t/>
  </si>
  <si>
    <t>Additional types WITHIN or PARTIALLY WITHIN the protected areas above</t>
  </si>
  <si>
    <t>Number</t>
  </si>
  <si>
    <t>Overlapping Area (ha)</t>
  </si>
  <si>
    <t>QLD,WA,NT</t>
  </si>
  <si>
    <t>Additional Total</t>
  </si>
  <si>
    <r>
      <rPr>
        <vertAlign val="superscript"/>
        <sz val="11"/>
        <color rgb="FF000000"/>
        <rFont val="Calibri"/>
        <family val="2"/>
        <scheme val="minor"/>
      </rPr>
      <t>4</t>
    </r>
    <r>
      <rPr>
        <sz val="11"/>
        <color rgb="FF000000"/>
        <rFont val="Calibri"/>
        <family val="2"/>
        <scheme val="minor"/>
      </rPr>
      <t xml:space="preserve"> Australia and its territories combined area (approx km</t>
    </r>
    <r>
      <rPr>
        <vertAlign val="superscript"/>
        <sz val="11"/>
        <color rgb="FF000000"/>
        <rFont val="Calibri"/>
        <family val="2"/>
        <scheme val="minor"/>
      </rPr>
      <t>2</t>
    </r>
    <r>
      <rPr>
        <sz val="11"/>
        <color rgb="FF000000"/>
        <rFont val="Calibri"/>
        <family val="2"/>
        <scheme val="minor"/>
      </rPr>
      <t>)</t>
    </r>
  </si>
  <si>
    <t>Marine Protected Areas and Sea Country IPAs by Type in State and Commonwealth waters (2024)</t>
  </si>
  <si>
    <r>
      <rPr>
        <vertAlign val="superscript"/>
        <sz val="11"/>
        <rFont val="Calibri"/>
        <family val="2"/>
        <scheme val="minor"/>
      </rPr>
      <t>3,4</t>
    </r>
    <r>
      <rPr>
        <sz val="11"/>
        <rFont val="Calibri"/>
        <family val="2"/>
        <scheme val="minor"/>
      </rPr>
      <t xml:space="preserve"> % of Australian waters protected, including Sea Country IPAs</t>
    </r>
  </si>
  <si>
    <t>Total (excluding overlaps between and within types)</t>
  </si>
  <si>
    <t>Total (including overlaps between and within types - see below)</t>
  </si>
  <si>
    <t>Marine Protected Areas and Sea Country IPAs by IUCN Category in State and Commonwealth waters (2024)</t>
  </si>
  <si>
    <t>Ib</t>
  </si>
  <si>
    <t>Total (including overlaps between and within types)</t>
  </si>
  <si>
    <r>
      <t>Number of Areas</t>
    </r>
    <r>
      <rPr>
        <b/>
        <vertAlign val="superscript"/>
        <sz val="10"/>
        <color theme="1"/>
        <rFont val="Arial"/>
        <family val="2"/>
      </rPr>
      <t>1.</t>
    </r>
  </si>
  <si>
    <t>WA,SA</t>
  </si>
  <si>
    <t>WA,NT,QLD</t>
  </si>
  <si>
    <t>VIC,SA</t>
  </si>
  <si>
    <t>SA,WA,QLD,NSW,NT,COM</t>
  </si>
  <si>
    <t>National Park (Commonwealth)</t>
  </si>
  <si>
    <t>COM,EXT</t>
  </si>
  <si>
    <t>State Reserve</t>
  </si>
  <si>
    <t>NAS</t>
  </si>
  <si>
    <t>**Indigenous Protected Area</t>
  </si>
  <si>
    <t>Marine Protected Areas and Sea Country IPAs by Area 2024</t>
  </si>
  <si>
    <t>Commonwealth</t>
  </si>
  <si>
    <t>1. The number of protected areas (as defined by unique PA_IDs) which have been attributed with this TYPE. The total number of protected areas in this tab may differ from the totals in the 'IUCN Category' and 'Detailed List' tabs due to summarising of records based on NAME and TYPE (e.g. unique PA_ID). Overlaps are excluded from the top table.</t>
  </si>
  <si>
    <t xml:space="preserve">2. Area is based on calculated GIS_AREA data (rather than gazetted areas). GIS_AREA is the area in hectares based on current spatial data and an Albers equal area projection for Australia. </t>
  </si>
  <si>
    <t>4 The total EEZ area of 8,939,192 km2 is based on the ratification of Perth 97 treaty EEZ. It includes external territories of Norfolk Island, Christmas Island, Cocos (Keeling) Islands and Heard Island and McDonald Islands.</t>
  </si>
  <si>
    <t xml:space="preserve">3. The total number of protected areas (unique PA_IDs) contributing to the NRSMPA regardless of overlaps. </t>
  </si>
  <si>
    <t>**Sea Country IPAs are not part of the NRSMPA. The Guidelines for Establishing the National Representative System of Marine Protected Areas (ANZECC TFMPA 1998. Environment Australia, Canberra) require areas to be secured through a Parliamentary process to be added to the NRSMPA.  Sea Country IPAs are voluntary in nature and therefore do not meet this criterion.</t>
  </si>
  <si>
    <t>* This information may not match exactly the statistics reported by State, Territory and other agencies. This is likely due to differences in the method used to calculate the Total Area of State/Territory waters. CAPAD uses state marine coastal waters areas as published by Geoscience Australia when calculating area of state waters, which does not include the tidal component of estuaries.</t>
  </si>
  <si>
    <t>1. The number of protected areas which contain an area with the listed IUCN classification. This area could be the entire protected area or a part of the protected area. The total number of protected areas in this tab may differ from the totals in other tabs due to summarising of records based on NAME, TYPE and IUCN category. Overlaps are excluded from this table.</t>
  </si>
  <si>
    <t>2. The number of individual parts/zones which are managed under the listed IUCN classification.</t>
  </si>
  <si>
    <t xml:space="preserve">3. Area is based on calculated GIS_AREA data (rather than gazetted areas). GIS_AREA is the area in hectares based on current spatial data and an Albers equal area projection for Australia. </t>
  </si>
  <si>
    <t>1. The number of protected areas (unique PA_ID) assigned to the jurisdiction. This may differ from the numbers in the jurisdiction spreadsheets as they represent any protected areas in the jurisdiction area. Overlaps are excluded from this table.</t>
  </si>
  <si>
    <r>
      <rPr>
        <b/>
        <vertAlign val="superscript"/>
        <sz val="10"/>
        <color theme="1"/>
        <rFont val="Arial"/>
        <family val="2"/>
      </rPr>
      <t>2,3</t>
    </r>
    <r>
      <rPr>
        <b/>
        <sz val="10"/>
        <color theme="1"/>
        <rFont val="Arial"/>
        <family val="2"/>
      </rPr>
      <t>Area (ha) by Assigned Jurisdiction</t>
    </r>
  </si>
  <si>
    <t>3. The total area of protected areas assigned to the jurisdiction (STATE).</t>
  </si>
  <si>
    <r>
      <rPr>
        <b/>
        <vertAlign val="superscript"/>
        <sz val="10"/>
        <color theme="1"/>
        <rFont val="Arial"/>
        <family val="2"/>
      </rPr>
      <t>2,5</t>
    </r>
    <r>
      <rPr>
        <b/>
        <sz val="10"/>
        <color theme="1"/>
        <rFont val="Arial"/>
        <family val="2"/>
      </rPr>
      <t>Area (ha) by Geographical Jurisdiction</t>
    </r>
  </si>
  <si>
    <t xml:space="preserve">5. The total geographical area of the jurisdiction protected. This may include protected areas assigned to a different jurisdiction (e.g. QLD geographical area is partically protected by Commonwealth areas protected areas). 
This total does not exactly match the Assigned Jurisdiction total due to alignment differences between some jurisdiction submissions and the AMB 2020 Coastal Water boundaries. </t>
  </si>
  <si>
    <t>SA,QLD,NSW,WA,COM</t>
  </si>
  <si>
    <t>* This table only includes protected areas that meet the standard for inclusion in the National Representative System of Marine Protected Areas (NRSMPA) (NRS_MPA = ‘Y’) and Sea Country IPAs (NRS_MPA = ‘I’). See Technical Specification document – at https://www.dcceew.gov.au/environment/land/nrs/science/capad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</si>
</sst>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5"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sz val="11"/>
      <color theme="1"/>
      <name val="Calibri"/>
      <family val="2"/>
      <scheme val="minor"/>
    </font>
    <font>
      <sz val="11"/>
      <color rgb="FF000000"/>
      <name val="Calibri"/>
      <family val="2"/>
      <scheme val="minor"/>
    </font>
    <font>
      <vertAlign val="superscript"/>
      <sz val="11"/>
      <color rgb="FF000000"/>
      <name val="Calibri"/>
      <family val="2"/>
      <scheme val="minor"/>
    </font>
    <font>
      <b/>
      <sz val="10"/>
      <name val="Arial"/>
      <family val="2"/>
    </font>
    <font>
      <sz val="11"/>
      <name val="Calibri"/>
      <family val="2"/>
      <scheme val="minor"/>
    </font>
    <font>
      <vertAlign val="superscript"/>
      <sz val="11"/>
      <name val="Calibri"/>
      <family val="2"/>
      <scheme val="minor"/>
    </font>
    <font>
      <b/>
      <sz val="10"/>
      <color rgb="FF3333FF"/>
      <name val="Arial"/>
      <family val="2"/>
    </font>
    <font>
      <b/>
      <sz val="11"/>
      <color rgb="FFFF00FF"/>
      <name val="Calibri"/>
      <family val="2"/>
      <scheme val="minor"/>
    </font>
    <font>
      <sz val="8"/>
      <color theme="0" tint="-0.499984740745262"/>
      <name val="Arial"/>
      <family val="2"/>
    </font>
    <font>
      <b/>
      <sz val="11"/>
      <color rgb="FF3333FF"/>
      <name val="Calibri"/>
      <family val="2"/>
      <scheme val="minor"/>
    </font>
  </fonts>
  <fills count="4">
    <fill>
      <patternFill patternType="none"/>
    </fill>
    <fill>
      <patternFill patternType="gray125"/>
    </fill>
    <fill>
      <patternFill patternType="solid">
        <fgColor rgb="FFC0C0C0"/>
        <bgColor indexed="64"/>
      </patternFill>
    </fill>
    <fill>
      <patternFill patternType="solid">
        <fgColor rgb="FF9DDAED"/>
        <bgColor indexed="64"/>
      </patternFill>
    </fill>
  </fills>
  <borders count="26">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thin">
        <color auto="1"/>
      </left>
      <right style="thin">
        <color auto="1"/>
      </right>
      <top style="thin">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auto="1"/>
      </top>
      <bottom style="medium">
        <color indexed="64"/>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right style="thin">
        <color auto="1"/>
      </right>
      <top style="thin">
        <color auto="1"/>
      </top>
      <bottom/>
      <diagonal/>
    </border>
    <border>
      <left style="medium">
        <color auto="1"/>
      </left>
      <right/>
      <top/>
      <bottom style="medium">
        <color indexed="64"/>
      </bottom>
      <diagonal/>
    </border>
    <border>
      <left/>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style="thin">
        <color auto="1"/>
      </top>
      <bottom style="thin">
        <color auto="1"/>
      </bottom>
      <diagonal/>
    </border>
  </borders>
  <cellStyleXfs count="2">
    <xf numFmtId="0" fontId="0" fillId="0" borderId="0"/>
    <xf numFmtId="43" fontId="5" fillId="0" borderId="0" applyFont="0" applyFill="0" applyBorder="0" applyAlignment="0" applyProtection="0"/>
  </cellStyleXfs>
  <cellXfs count="71">
    <xf numFmtId="0" fontId="0" fillId="0" borderId="0" xfId="0"/>
    <xf numFmtId="0" fontId="2" fillId="0" borderId="2" xfId="0" applyFont="1" applyBorder="1"/>
    <xf numFmtId="164" fontId="2" fillId="0" borderId="2" xfId="0" applyNumberFormat="1" applyFont="1" applyBorder="1"/>
    <xf numFmtId="0" fontId="1" fillId="2" borderId="4" xfId="0" applyFont="1" applyFill="1" applyBorder="1"/>
    <xf numFmtId="164" fontId="1" fillId="2" borderId="4" xfId="0" applyNumberFormat="1" applyFont="1" applyFill="1" applyBorder="1"/>
    <xf numFmtId="4" fontId="2" fillId="0" borderId="2" xfId="0" applyNumberFormat="1" applyFont="1" applyBorder="1"/>
    <xf numFmtId="0" fontId="6" fillId="0" borderId="0" xfId="0" applyFont="1" applyAlignment="1">
      <alignment vertical="center"/>
    </xf>
    <xf numFmtId="3" fontId="6" fillId="0" borderId="0" xfId="0" applyNumberFormat="1" applyFont="1" applyAlignment="1">
      <alignment vertical="center"/>
    </xf>
    <xf numFmtId="0" fontId="0" fillId="0" borderId="2" xfId="0" applyBorder="1"/>
    <xf numFmtId="0" fontId="3" fillId="0" borderId="0" xfId="0" applyFont="1" applyAlignment="1">
      <alignment horizontal="left" vertical="center" wrapText="1"/>
    </xf>
    <xf numFmtId="0" fontId="1" fillId="0" borderId="0" xfId="0" applyFont="1"/>
    <xf numFmtId="0" fontId="1" fillId="2" borderId="13" xfId="0" applyFont="1" applyFill="1" applyBorder="1"/>
    <xf numFmtId="0" fontId="1" fillId="2" borderId="14" xfId="0" applyFont="1" applyFill="1" applyBorder="1"/>
    <xf numFmtId="0" fontId="1" fillId="2" borderId="13" xfId="0" applyFont="1" applyFill="1" applyBorder="1" applyAlignment="1">
      <alignment horizontal="left" vertical="center"/>
    </xf>
    <xf numFmtId="164" fontId="1" fillId="2" borderId="4" xfId="0" applyNumberFormat="1" applyFont="1" applyFill="1" applyBorder="1" applyAlignment="1">
      <alignment horizontal="left" vertical="center"/>
    </xf>
    <xf numFmtId="164" fontId="11" fillId="2" borderId="4" xfId="0" applyNumberFormat="1" applyFont="1" applyFill="1" applyBorder="1" applyAlignment="1">
      <alignment horizontal="left" vertical="center"/>
    </xf>
    <xf numFmtId="0" fontId="1" fillId="2" borderId="14" xfId="0" applyFont="1" applyFill="1" applyBorder="1" applyAlignment="1">
      <alignment horizontal="left" vertical="center"/>
    </xf>
    <xf numFmtId="165" fontId="12" fillId="0" borderId="7" xfId="0" applyNumberFormat="1" applyFont="1" applyBorder="1" applyAlignment="1">
      <alignment vertical="center"/>
    </xf>
    <xf numFmtId="0" fontId="2" fillId="0" borderId="0" xfId="0" applyFont="1"/>
    <xf numFmtId="0" fontId="1" fillId="0" borderId="9" xfId="0" applyFont="1" applyBorder="1" applyAlignment="1">
      <alignment wrapText="1"/>
    </xf>
    <xf numFmtId="0" fontId="0" fillId="0" borderId="15" xfId="0" applyBorder="1"/>
    <xf numFmtId="0" fontId="0" fillId="0" borderId="16" xfId="0" applyBorder="1"/>
    <xf numFmtId="164" fontId="2" fillId="2" borderId="4" xfId="0" applyNumberFormat="1" applyFont="1" applyFill="1" applyBorder="1"/>
    <xf numFmtId="0" fontId="1" fillId="2" borderId="17" xfId="0" applyFont="1" applyFill="1" applyBorder="1" applyAlignment="1">
      <alignment horizontal="left" vertical="center"/>
    </xf>
    <xf numFmtId="164" fontId="1" fillId="2" borderId="18" xfId="0" applyNumberFormat="1" applyFont="1" applyFill="1" applyBorder="1" applyAlignment="1">
      <alignment horizontal="left" vertical="center"/>
    </xf>
    <xf numFmtId="0" fontId="1" fillId="2" borderId="19" xfId="0" applyFont="1" applyFill="1" applyBorder="1" applyAlignment="1">
      <alignment horizontal="left" vertical="center"/>
    </xf>
    <xf numFmtId="0" fontId="6" fillId="0" borderId="5" xfId="0" applyFont="1" applyBorder="1" applyAlignment="1">
      <alignment vertical="center"/>
    </xf>
    <xf numFmtId="3" fontId="6" fillId="0" borderId="7" xfId="0" applyNumberFormat="1" applyFont="1" applyBorder="1" applyAlignment="1">
      <alignment vertical="center"/>
    </xf>
    <xf numFmtId="0" fontId="9" fillId="0" borderId="5" xfId="0" applyFont="1" applyBorder="1" applyAlignment="1">
      <alignment vertical="center"/>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6" fillId="0" borderId="5" xfId="0" applyFont="1" applyBorder="1" applyAlignment="1">
      <alignment horizontal="left" vertical="center"/>
    </xf>
    <xf numFmtId="0" fontId="6" fillId="0" borderId="6" xfId="0" applyFont="1" applyBorder="1" applyAlignment="1">
      <alignment horizontal="left" vertical="center"/>
    </xf>
    <xf numFmtId="164" fontId="1" fillId="2" borderId="14" xfId="0" applyNumberFormat="1" applyFont="1" applyFill="1" applyBorder="1"/>
    <xf numFmtId="0" fontId="2" fillId="0" borderId="21" xfId="0" applyFont="1" applyBorder="1"/>
    <xf numFmtId="0" fontId="2" fillId="0" borderId="8" xfId="0" applyFont="1" applyBorder="1"/>
    <xf numFmtId="4" fontId="2" fillId="0" borderId="8" xfId="0" applyNumberFormat="1" applyFont="1" applyBorder="1"/>
    <xf numFmtId="165" fontId="14" fillId="0" borderId="7" xfId="0" applyNumberFormat="1" applyFont="1" applyBorder="1" applyAlignment="1">
      <alignment vertical="center"/>
    </xf>
    <xf numFmtId="164" fontId="8" fillId="2" borderId="4" xfId="0" applyNumberFormat="1" applyFont="1" applyFill="1" applyBorder="1" applyAlignment="1">
      <alignment horizontal="left" vertical="center"/>
    </xf>
    <xf numFmtId="0" fontId="13" fillId="0" borderId="0" xfId="0" applyFont="1" applyAlignment="1">
      <alignment horizontal="left" vertical="center" wrapText="1"/>
    </xf>
    <xf numFmtId="164" fontId="0" fillId="0" borderId="0" xfId="0" applyNumberFormat="1"/>
    <xf numFmtId="0" fontId="2" fillId="0" borderId="12" xfId="0" applyFont="1" applyBorder="1"/>
    <xf numFmtId="164" fontId="12" fillId="0" borderId="0" xfId="1" applyNumberFormat="1" applyFont="1" applyBorder="1" applyAlignment="1">
      <alignment vertical="center"/>
    </xf>
    <xf numFmtId="0" fontId="0" fillId="0" borderId="0" xfId="0" applyAlignment="1">
      <alignment horizontal="left"/>
    </xf>
    <xf numFmtId="43" fontId="0" fillId="0" borderId="0" xfId="0" applyNumberFormat="1"/>
    <xf numFmtId="164" fontId="11" fillId="2" borderId="24" xfId="1" applyNumberFormat="1" applyFont="1" applyFill="1" applyBorder="1" applyAlignment="1">
      <alignment horizontal="left" vertical="center"/>
    </xf>
    <xf numFmtId="164" fontId="9" fillId="0" borderId="25" xfId="0" applyNumberFormat="1" applyFont="1" applyBorder="1"/>
    <xf numFmtId="164" fontId="2" fillId="0" borderId="25" xfId="0" applyNumberFormat="1" applyFont="1" applyBorder="1"/>
    <xf numFmtId="0" fontId="0" fillId="0" borderId="12" xfId="0" applyBorder="1"/>
    <xf numFmtId="164" fontId="0" fillId="0" borderId="25" xfId="1" applyNumberFormat="1" applyFont="1" applyBorder="1"/>
    <xf numFmtId="164" fontId="11" fillId="2" borderId="14" xfId="0" applyNumberFormat="1" applyFont="1" applyFill="1" applyBorder="1" applyAlignment="1">
      <alignment horizontal="left" vertical="center"/>
    </xf>
    <xf numFmtId="164" fontId="8" fillId="2" borderId="19" xfId="1" applyNumberFormat="1" applyFont="1" applyFill="1" applyBorder="1" applyAlignment="1">
      <alignment horizontal="left" vertical="center"/>
    </xf>
    <xf numFmtId="4" fontId="0" fillId="0" borderId="0" xfId="0" applyNumberFormat="1"/>
    <xf numFmtId="0" fontId="2" fillId="0" borderId="25" xfId="0" applyFont="1" applyBorder="1"/>
    <xf numFmtId="164" fontId="11" fillId="2" borderId="4" xfId="0" applyNumberFormat="1" applyFont="1" applyFill="1" applyBorder="1"/>
    <xf numFmtId="164" fontId="8" fillId="2" borderId="24" xfId="1" applyNumberFormat="1" applyFont="1" applyFill="1" applyBorder="1" applyAlignment="1">
      <alignment horizontal="left" vertical="center"/>
    </xf>
    <xf numFmtId="164" fontId="3" fillId="0" borderId="0" xfId="0" applyNumberFormat="1" applyFont="1" applyAlignment="1">
      <alignment horizontal="left" vertical="center" wrapText="1"/>
    </xf>
    <xf numFmtId="164" fontId="0" fillId="0" borderId="25" xfId="0" applyNumberFormat="1" applyBorder="1"/>
    <xf numFmtId="0" fontId="8" fillId="3" borderId="1" xfId="0" applyFont="1" applyFill="1" applyBorder="1" applyAlignment="1">
      <alignment horizontal="center" vertical="center"/>
    </xf>
    <xf numFmtId="0" fontId="13" fillId="0" borderId="0" xfId="0" applyFont="1" applyAlignment="1">
      <alignment horizontal="left" vertical="center" wrapText="1"/>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20" xfId="0" applyFont="1" applyFill="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3" fillId="0" borderId="0" xfId="0" applyFont="1" applyAlignment="1">
      <alignment horizontal="left" vertical="center" wrapText="1"/>
    </xf>
    <xf numFmtId="0" fontId="8" fillId="3" borderId="3" xfId="0" applyFont="1" applyFill="1" applyBorder="1" applyAlignment="1">
      <alignment horizontal="center" vertical="center"/>
    </xf>
    <xf numFmtId="0" fontId="8" fillId="3" borderId="0" xfId="0" applyFont="1" applyFill="1" applyAlignment="1">
      <alignment horizontal="center" vertical="center"/>
    </xf>
    <xf numFmtId="0" fontId="1" fillId="2" borderId="22" xfId="0" applyFont="1" applyFill="1" applyBorder="1" applyAlignment="1">
      <alignment horizontal="left" vertical="center"/>
    </xf>
    <xf numFmtId="0" fontId="1" fillId="2" borderId="23" xfId="0" applyFont="1" applyFill="1" applyBorder="1" applyAlignment="1">
      <alignment horizontal="left" vertical="center"/>
    </xf>
  </cellXfs>
  <cellStyles count="2">
    <cellStyle name="Comma" xfId="1" builtinId="3"/>
    <cellStyle name="Normal" xfId="0" builtinId="0"/>
  </cellStyles>
  <dxfs count="0"/>
  <tableStyles count="0" defaultTableStyle="TableStyleMedium9" defaultPivotStyle="PivotStyleLight16"/>
  <colors>
    <mruColors>
      <color rgb="FF3333FF"/>
      <color rgb="FFFF00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
  <sheetViews>
    <sheetView topLeftCell="A33" zoomScaleNormal="100" workbookViewId="0">
      <selection activeCell="A53" sqref="A53:D53"/>
    </sheetView>
  </sheetViews>
  <sheetFormatPr defaultRowHeight="14.6" x14ac:dyDescent="0.4"/>
  <cols>
    <col min="1" max="1" width="62.23046875" bestFit="1" customWidth="1"/>
    <col min="2" max="2" width="20.69140625" customWidth="1"/>
    <col min="3" max="3" width="17.69140625" customWidth="1"/>
    <col min="4" max="4" width="30.69140625" customWidth="1"/>
    <col min="6" max="6" width="12.15234375" customWidth="1"/>
    <col min="7" max="7" width="38.3828125" bestFit="1" customWidth="1"/>
  </cols>
  <sheetData>
    <row r="1" spans="1:4" ht="25" customHeight="1" thickBot="1" x14ac:dyDescent="0.45">
      <c r="A1" s="59" t="s">
        <v>51</v>
      </c>
      <c r="B1" s="59"/>
      <c r="C1" s="59"/>
      <c r="D1" s="59"/>
    </row>
    <row r="2" spans="1:4" ht="25" customHeight="1" x14ac:dyDescent="0.4">
      <c r="A2" s="29" t="s">
        <v>0</v>
      </c>
      <c r="B2" s="30" t="s">
        <v>20</v>
      </c>
      <c r="C2" s="30" t="s">
        <v>1</v>
      </c>
      <c r="D2" s="31" t="s">
        <v>21</v>
      </c>
    </row>
    <row r="3" spans="1:4" ht="15" customHeight="1" x14ac:dyDescent="0.4">
      <c r="A3" s="1" t="s">
        <v>22</v>
      </c>
      <c r="B3" s="1">
        <v>1</v>
      </c>
      <c r="C3" s="5">
        <v>62302.816405999998</v>
      </c>
      <c r="D3" s="1" t="s">
        <v>19</v>
      </c>
    </row>
    <row r="4" spans="1:4" ht="15" customHeight="1" x14ac:dyDescent="0.4">
      <c r="A4" s="1" t="s">
        <v>23</v>
      </c>
      <c r="B4" s="1">
        <v>12</v>
      </c>
      <c r="C4" s="5">
        <v>1775.1808040000001</v>
      </c>
      <c r="D4" s="1" t="s">
        <v>13</v>
      </c>
    </row>
    <row r="5" spans="1:4" ht="15" customHeight="1" x14ac:dyDescent="0.4">
      <c r="A5" s="1" t="s">
        <v>24</v>
      </c>
      <c r="B5" s="1">
        <v>60</v>
      </c>
      <c r="C5" s="5">
        <v>382035759.78089303</v>
      </c>
      <c r="D5" s="1" t="s">
        <v>25</v>
      </c>
    </row>
    <row r="6" spans="1:4" ht="15" customHeight="1" x14ac:dyDescent="0.4">
      <c r="A6" s="1" t="s">
        <v>26</v>
      </c>
      <c r="B6" s="1">
        <v>1</v>
      </c>
      <c r="C6" s="5">
        <v>7095253.3359380001</v>
      </c>
      <c r="D6" s="1" t="s">
        <v>25</v>
      </c>
    </row>
    <row r="7" spans="1:4" ht="15" customHeight="1" x14ac:dyDescent="0.4">
      <c r="A7" s="1" t="s">
        <v>27</v>
      </c>
      <c r="B7" s="1">
        <v>19</v>
      </c>
      <c r="C7" s="5">
        <v>4444.7366430000002</v>
      </c>
      <c r="D7" s="1" t="s">
        <v>17</v>
      </c>
    </row>
    <row r="8" spans="1:4" ht="15" customHeight="1" x14ac:dyDescent="0.4">
      <c r="A8" s="1" t="s">
        <v>28</v>
      </c>
      <c r="B8" s="1">
        <v>8</v>
      </c>
      <c r="C8" s="5">
        <v>70336.064289999995</v>
      </c>
      <c r="D8" s="1" t="s">
        <v>59</v>
      </c>
    </row>
    <row r="9" spans="1:4" ht="15" customHeight="1" x14ac:dyDescent="0.4">
      <c r="A9" s="1" t="s">
        <v>29</v>
      </c>
      <c r="B9" s="1">
        <v>55</v>
      </c>
      <c r="C9" s="5">
        <v>362399.55048400001</v>
      </c>
      <c r="D9" s="1" t="s">
        <v>15</v>
      </c>
    </row>
    <row r="10" spans="1:4" ht="15" customHeight="1" x14ac:dyDescent="0.4">
      <c r="A10" s="1" t="s">
        <v>30</v>
      </c>
      <c r="B10" s="1">
        <v>37</v>
      </c>
      <c r="C10" s="5">
        <v>42812.752311999997</v>
      </c>
      <c r="D10" s="1" t="s">
        <v>15</v>
      </c>
    </row>
    <row r="11" spans="1:4" ht="15" customHeight="1" x14ac:dyDescent="0.4">
      <c r="A11" s="1" t="s">
        <v>31</v>
      </c>
      <c r="B11" s="1">
        <v>1</v>
      </c>
      <c r="C11" s="5">
        <v>1693.240112</v>
      </c>
      <c r="D11" s="1" t="s">
        <v>17</v>
      </c>
    </row>
    <row r="12" spans="1:4" ht="15" customHeight="1" x14ac:dyDescent="0.4">
      <c r="A12" s="1" t="s">
        <v>32</v>
      </c>
      <c r="B12" s="1">
        <v>14</v>
      </c>
      <c r="C12" s="5">
        <v>11751.688461</v>
      </c>
      <c r="D12" s="1" t="s">
        <v>17</v>
      </c>
    </row>
    <row r="13" spans="1:4" ht="15" customHeight="1" x14ac:dyDescent="0.4">
      <c r="A13" s="1" t="s">
        <v>33</v>
      </c>
      <c r="B13" s="1">
        <v>2</v>
      </c>
      <c r="C13" s="5">
        <v>141426.36541699999</v>
      </c>
      <c r="D13" s="1" t="s">
        <v>19</v>
      </c>
    </row>
    <row r="14" spans="1:4" ht="15" customHeight="1" x14ac:dyDescent="0.4">
      <c r="A14" s="1" t="s">
        <v>34</v>
      </c>
      <c r="B14" s="1">
        <v>14</v>
      </c>
      <c r="C14" s="5">
        <v>52227.868089000003</v>
      </c>
      <c r="D14" s="1" t="s">
        <v>61</v>
      </c>
    </row>
    <row r="15" spans="1:4" ht="15" customHeight="1" x14ac:dyDescent="0.4">
      <c r="A15" s="1" t="s">
        <v>35</v>
      </c>
      <c r="B15" s="1">
        <v>4</v>
      </c>
      <c r="C15" s="5">
        <v>115464.44609899999</v>
      </c>
      <c r="D15" s="1" t="s">
        <v>36</v>
      </c>
    </row>
    <row r="16" spans="1:4" ht="15" customHeight="1" x14ac:dyDescent="0.4">
      <c r="A16" s="1" t="s">
        <v>37</v>
      </c>
      <c r="B16" s="1">
        <v>51</v>
      </c>
      <c r="C16" s="5">
        <v>43656950.477926999</v>
      </c>
      <c r="D16" s="1" t="s">
        <v>62</v>
      </c>
    </row>
    <row r="17" spans="1:6" ht="15" customHeight="1" x14ac:dyDescent="0.4">
      <c r="A17" s="1" t="s">
        <v>38</v>
      </c>
      <c r="B17" s="1">
        <v>11</v>
      </c>
      <c r="C17" s="5">
        <v>864.818851</v>
      </c>
      <c r="D17" s="1" t="s">
        <v>18</v>
      </c>
    </row>
    <row r="18" spans="1:6" ht="15" customHeight="1" x14ac:dyDescent="0.4">
      <c r="A18" s="1" t="s">
        <v>39</v>
      </c>
      <c r="B18" s="1">
        <v>1</v>
      </c>
      <c r="C18" s="5">
        <v>31279.965962999999</v>
      </c>
      <c r="D18" s="1" t="s">
        <v>17</v>
      </c>
    </row>
    <row r="19" spans="1:6" ht="15" customHeight="1" x14ac:dyDescent="0.4">
      <c r="A19" s="1" t="s">
        <v>63</v>
      </c>
      <c r="B19" s="1">
        <v>2</v>
      </c>
      <c r="C19" s="5">
        <v>3251.9958609999999</v>
      </c>
      <c r="D19" s="1" t="s">
        <v>64</v>
      </c>
    </row>
    <row r="20" spans="1:6" ht="15" customHeight="1" x14ac:dyDescent="0.4">
      <c r="A20" s="1" t="s">
        <v>40</v>
      </c>
      <c r="B20" s="1">
        <v>1</v>
      </c>
      <c r="C20" s="5">
        <v>3207.1188959999999</v>
      </c>
      <c r="D20" s="1" t="s">
        <v>18</v>
      </c>
    </row>
    <row r="21" spans="1:6" ht="15" customHeight="1" x14ac:dyDescent="0.4">
      <c r="A21" s="1" t="s">
        <v>41</v>
      </c>
      <c r="B21" s="1">
        <v>5</v>
      </c>
      <c r="C21" s="5">
        <v>59773.237328000003</v>
      </c>
      <c r="D21" s="1" t="s">
        <v>18</v>
      </c>
    </row>
    <row r="22" spans="1:6" ht="15" customHeight="1" x14ac:dyDescent="0.4">
      <c r="A22" s="35" t="s">
        <v>42</v>
      </c>
      <c r="B22" s="36">
        <v>18</v>
      </c>
      <c r="C22" s="37">
        <v>98468.097871000005</v>
      </c>
      <c r="D22" s="1" t="s">
        <v>43</v>
      </c>
    </row>
    <row r="23" spans="1:6" ht="15" customHeight="1" x14ac:dyDescent="0.4">
      <c r="A23" s="35" t="s">
        <v>65</v>
      </c>
      <c r="B23" s="36">
        <v>1</v>
      </c>
      <c r="C23" s="37">
        <v>3828.4309079999998</v>
      </c>
      <c r="D23" s="1" t="s">
        <v>19</v>
      </c>
    </row>
    <row r="24" spans="1:6" ht="15" customHeight="1" x14ac:dyDescent="0.4">
      <c r="A24" s="1" t="s">
        <v>67</v>
      </c>
      <c r="B24" s="1">
        <v>11</v>
      </c>
      <c r="C24" s="5">
        <v>3349123.4644999998</v>
      </c>
      <c r="D24" s="1" t="s">
        <v>60</v>
      </c>
    </row>
    <row r="25" spans="1:6" ht="26.25" customHeight="1" thickBot="1" x14ac:dyDescent="0.45">
      <c r="A25" s="13" t="s">
        <v>53</v>
      </c>
      <c r="B25" s="14">
        <f>SUM(B3:B24)</f>
        <v>329</v>
      </c>
      <c r="C25" s="15">
        <f>SUM(C3:C24)</f>
        <v>437204395.43405312</v>
      </c>
      <c r="D25" s="16" t="s">
        <v>44</v>
      </c>
    </row>
    <row r="26" spans="1:6" ht="26.25" customHeight="1" thickBot="1" x14ac:dyDescent="0.45">
      <c r="A26" s="23" t="s">
        <v>54</v>
      </c>
      <c r="B26" s="24">
        <v>330</v>
      </c>
      <c r="C26" s="39">
        <v>447112471.68407702</v>
      </c>
      <c r="D26" s="25"/>
      <c r="F26" s="41"/>
    </row>
    <row r="27" spans="1:6" ht="27" customHeight="1" thickBot="1" x14ac:dyDescent="0.45">
      <c r="A27" s="26" t="s">
        <v>50</v>
      </c>
      <c r="B27" s="27">
        <v>8939192</v>
      </c>
      <c r="C27" s="41"/>
      <c r="D27" s="10"/>
    </row>
    <row r="28" spans="1:6" ht="26.25" customHeight="1" thickBot="1" x14ac:dyDescent="0.45">
      <c r="A28" s="28" t="s">
        <v>52</v>
      </c>
      <c r="B28" s="38">
        <f>C25/B27/100</f>
        <v>0.48908715176276907</v>
      </c>
      <c r="D28" s="10"/>
    </row>
    <row r="29" spans="1:6" x14ac:dyDescent="0.4">
      <c r="A29" s="6"/>
      <c r="B29" s="7"/>
      <c r="D29" s="10"/>
    </row>
    <row r="30" spans="1:6" ht="15" thickBot="1" x14ac:dyDescent="0.45">
      <c r="A30" s="18"/>
      <c r="B30" s="18"/>
      <c r="C30" s="18"/>
      <c r="D30" s="18"/>
    </row>
    <row r="31" spans="1:6" ht="25.75" x14ac:dyDescent="0.4">
      <c r="A31" s="19" t="s">
        <v>45</v>
      </c>
      <c r="B31" s="20" t="s">
        <v>46</v>
      </c>
      <c r="C31" s="20" t="s">
        <v>47</v>
      </c>
      <c r="D31" s="21"/>
    </row>
    <row r="32" spans="1:6" ht="14.15" customHeight="1" x14ac:dyDescent="0.4">
      <c r="A32" s="42" t="s">
        <v>22</v>
      </c>
      <c r="B32" s="1">
        <v>1</v>
      </c>
      <c r="C32" s="5">
        <v>756.16326900000001</v>
      </c>
      <c r="D32" s="54" t="s">
        <v>19</v>
      </c>
      <c r="F32" s="53"/>
    </row>
    <row r="33" spans="1:6" ht="14.15" customHeight="1" x14ac:dyDescent="0.4">
      <c r="A33" s="42" t="s">
        <v>23</v>
      </c>
      <c r="B33" s="1">
        <v>6</v>
      </c>
      <c r="C33" s="5">
        <v>256.72513099999998</v>
      </c>
      <c r="D33" s="54" t="s">
        <v>13</v>
      </c>
      <c r="F33" s="53"/>
    </row>
    <row r="34" spans="1:6" ht="14.15" customHeight="1" x14ac:dyDescent="0.4">
      <c r="A34" s="42" t="s">
        <v>24</v>
      </c>
      <c r="B34" s="1">
        <v>1</v>
      </c>
      <c r="C34" s="5">
        <v>5.4047890000000001</v>
      </c>
      <c r="D34" s="54" t="s">
        <v>25</v>
      </c>
      <c r="F34" s="53"/>
    </row>
    <row r="35" spans="1:6" ht="14.15" customHeight="1" x14ac:dyDescent="0.4">
      <c r="A35" s="42" t="s">
        <v>28</v>
      </c>
      <c r="B35" s="1">
        <v>2</v>
      </c>
      <c r="C35" s="5">
        <v>1436.3352620000001</v>
      </c>
      <c r="D35" s="54" t="s">
        <v>59</v>
      </c>
      <c r="F35" s="53"/>
    </row>
    <row r="36" spans="1:6" ht="14.15" customHeight="1" x14ac:dyDescent="0.4">
      <c r="A36" s="42" t="s">
        <v>29</v>
      </c>
      <c r="B36" s="1">
        <v>52</v>
      </c>
      <c r="C36" s="5">
        <v>645755.99512099999</v>
      </c>
      <c r="D36" s="54" t="s">
        <v>15</v>
      </c>
      <c r="F36" s="53"/>
    </row>
    <row r="37" spans="1:6" ht="14.15" customHeight="1" x14ac:dyDescent="0.4">
      <c r="A37" s="42" t="s">
        <v>30</v>
      </c>
      <c r="B37" s="1">
        <v>30</v>
      </c>
      <c r="C37" s="5">
        <v>136424.37633900001</v>
      </c>
      <c r="D37" s="54" t="s">
        <v>15</v>
      </c>
      <c r="F37" s="53"/>
    </row>
    <row r="38" spans="1:6" ht="14.15" customHeight="1" x14ac:dyDescent="0.4">
      <c r="A38" s="42" t="s">
        <v>33</v>
      </c>
      <c r="B38" s="1">
        <v>2</v>
      </c>
      <c r="C38" s="5">
        <v>3.807124</v>
      </c>
      <c r="D38" s="54" t="s">
        <v>19</v>
      </c>
      <c r="F38" s="53"/>
    </row>
    <row r="39" spans="1:6" ht="14.15" customHeight="1" x14ac:dyDescent="0.4">
      <c r="A39" s="42" t="s">
        <v>34</v>
      </c>
      <c r="B39" s="1">
        <v>9</v>
      </c>
      <c r="C39" s="5">
        <v>127388.590933</v>
      </c>
      <c r="D39" s="54" t="s">
        <v>61</v>
      </c>
      <c r="F39" s="53"/>
    </row>
    <row r="40" spans="1:6" ht="14.15" customHeight="1" x14ac:dyDescent="0.4">
      <c r="A40" s="42" t="s">
        <v>37</v>
      </c>
      <c r="B40" s="1">
        <v>43</v>
      </c>
      <c r="C40" s="5">
        <v>6523369.1138500003</v>
      </c>
      <c r="D40" s="54" t="s">
        <v>84</v>
      </c>
      <c r="F40" s="53"/>
    </row>
    <row r="41" spans="1:6" ht="14.15" customHeight="1" x14ac:dyDescent="0.4">
      <c r="A41" s="42" t="s">
        <v>63</v>
      </c>
      <c r="B41" s="1">
        <v>1</v>
      </c>
      <c r="C41" s="5">
        <v>23.894824</v>
      </c>
      <c r="D41" s="54" t="s">
        <v>25</v>
      </c>
      <c r="F41" s="53"/>
    </row>
    <row r="42" spans="1:6" ht="14.15" customHeight="1" x14ac:dyDescent="0.4">
      <c r="A42" s="42" t="s">
        <v>41</v>
      </c>
      <c r="B42" s="1">
        <v>5</v>
      </c>
      <c r="C42" s="5">
        <v>28499.364117000001</v>
      </c>
      <c r="D42" s="54" t="s">
        <v>18</v>
      </c>
      <c r="F42" s="53"/>
    </row>
    <row r="43" spans="1:6" ht="14.15" customHeight="1" x14ac:dyDescent="0.4">
      <c r="A43" s="42" t="s">
        <v>42</v>
      </c>
      <c r="B43" s="1">
        <v>4</v>
      </c>
      <c r="C43" s="5">
        <v>6409.2564249999996</v>
      </c>
      <c r="D43" s="54" t="s">
        <v>19</v>
      </c>
      <c r="F43" s="53"/>
    </row>
    <row r="44" spans="1:6" ht="14.15" customHeight="1" x14ac:dyDescent="0.4">
      <c r="A44" s="42" t="s">
        <v>67</v>
      </c>
      <c r="B44" s="1">
        <v>9</v>
      </c>
      <c r="C44" s="5">
        <v>2437746.7248840001</v>
      </c>
      <c r="D44" s="54" t="s">
        <v>48</v>
      </c>
      <c r="F44" s="53"/>
    </row>
    <row r="45" spans="1:6" ht="15" thickBot="1" x14ac:dyDescent="0.45">
      <c r="A45" s="11" t="s">
        <v>49</v>
      </c>
      <c r="B45" s="22">
        <f>SUM(B32:B44)</f>
        <v>165</v>
      </c>
      <c r="C45" s="22">
        <f>SUM(C32:C44)</f>
        <v>9908075.7520679999</v>
      </c>
      <c r="D45" s="12" t="s">
        <v>44</v>
      </c>
      <c r="F45" s="53"/>
    </row>
    <row r="46" spans="1:6" x14ac:dyDescent="0.4">
      <c r="F46" s="53"/>
    </row>
    <row r="48" spans="1:6" ht="28.95" customHeight="1" x14ac:dyDescent="0.4">
      <c r="A48" s="60" t="s">
        <v>70</v>
      </c>
      <c r="B48" s="60"/>
      <c r="C48" s="60"/>
      <c r="D48" s="60"/>
    </row>
    <row r="49" spans="1:4" ht="18.649999999999999" customHeight="1" x14ac:dyDescent="0.4">
      <c r="A49" s="60" t="s">
        <v>71</v>
      </c>
      <c r="B49" s="60"/>
      <c r="C49" s="60"/>
      <c r="D49" s="60"/>
    </row>
    <row r="50" spans="1:4" ht="16.5" customHeight="1" x14ac:dyDescent="0.4">
      <c r="A50" s="60" t="s">
        <v>73</v>
      </c>
      <c r="B50" s="60"/>
      <c r="C50" s="60"/>
      <c r="D50" s="60"/>
    </row>
    <row r="51" spans="1:4" ht="27.65" customHeight="1" x14ac:dyDescent="0.4">
      <c r="A51" s="60" t="s">
        <v>72</v>
      </c>
      <c r="B51" s="60"/>
      <c r="C51" s="60"/>
      <c r="D51" s="60"/>
    </row>
    <row r="52" spans="1:4" x14ac:dyDescent="0.4">
      <c r="A52" s="40"/>
      <c r="B52" s="44"/>
      <c r="C52" s="44"/>
      <c r="D52" s="44"/>
    </row>
    <row r="53" spans="1:4" ht="24.45" customHeight="1" x14ac:dyDescent="0.4">
      <c r="A53" s="60" t="s">
        <v>85</v>
      </c>
      <c r="B53" s="60"/>
      <c r="C53" s="60"/>
      <c r="D53" s="60"/>
    </row>
    <row r="54" spans="1:4" ht="28.95" customHeight="1" x14ac:dyDescent="0.4">
      <c r="A54" s="60" t="s">
        <v>74</v>
      </c>
      <c r="B54" s="60"/>
      <c r="C54" s="60"/>
      <c r="D54" s="60"/>
    </row>
    <row r="55" spans="1:4" ht="34" customHeight="1" x14ac:dyDescent="0.4">
      <c r="A55" s="60" t="s">
        <v>75</v>
      </c>
      <c r="B55" s="60"/>
      <c r="C55" s="60"/>
      <c r="D55" s="60"/>
    </row>
  </sheetData>
  <mergeCells count="8">
    <mergeCell ref="A1:D1"/>
    <mergeCell ref="A54:D54"/>
    <mergeCell ref="A55:D55"/>
    <mergeCell ref="A48:D48"/>
    <mergeCell ref="A49:D49"/>
    <mergeCell ref="A51:D51"/>
    <mergeCell ref="A50:D50"/>
    <mergeCell ref="A53:D53"/>
  </mergeCells>
  <pageMargins left="0.7" right="0.7" top="0.75" bottom="0.75" header="0.3" footer="0.3"/>
  <headerFooter>
    <oddHeader>&amp;C&amp;"Calibri"&amp;12&amp;KFF0000 OFFICIAL&amp;1#_x000D_</oddHeader>
    <oddFooter>&amp;C_x000D_&amp;1#&amp;"Calibri"&amp;12&amp;KFF0000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election activeCell="A23" sqref="A23:D23"/>
    </sheetView>
  </sheetViews>
  <sheetFormatPr defaultRowHeight="14.6" x14ac:dyDescent="0.4"/>
  <cols>
    <col min="1" max="1" width="24.84375" customWidth="1"/>
    <col min="2" max="2" width="30.84375" customWidth="1"/>
    <col min="3" max="3" width="20.69140625" customWidth="1"/>
    <col min="4" max="4" width="34.53515625" customWidth="1"/>
  </cols>
  <sheetData>
    <row r="1" spans="1:4" ht="25" customHeight="1" thickBot="1" x14ac:dyDescent="0.45">
      <c r="A1" s="59" t="s">
        <v>55</v>
      </c>
      <c r="B1" s="59"/>
      <c r="C1" s="59"/>
      <c r="D1" s="59"/>
    </row>
    <row r="2" spans="1:4" ht="25" customHeight="1" x14ac:dyDescent="0.4">
      <c r="A2" s="29" t="s">
        <v>2</v>
      </c>
      <c r="B2" s="30" t="s">
        <v>58</v>
      </c>
      <c r="C2" s="30" t="s">
        <v>3</v>
      </c>
      <c r="D2" s="31" t="s">
        <v>4</v>
      </c>
    </row>
    <row r="3" spans="1:4" x14ac:dyDescent="0.4">
      <c r="A3" s="49" t="s">
        <v>9</v>
      </c>
      <c r="B3" s="8">
        <v>46</v>
      </c>
      <c r="C3" s="8">
        <v>179</v>
      </c>
      <c r="D3" s="50">
        <v>13609350.938815</v>
      </c>
    </row>
    <row r="4" spans="1:4" x14ac:dyDescent="0.4">
      <c r="A4" s="49" t="s">
        <v>56</v>
      </c>
      <c r="B4" s="2">
        <v>0</v>
      </c>
      <c r="C4" s="2">
        <v>0</v>
      </c>
      <c r="D4" s="48">
        <v>0</v>
      </c>
    </row>
    <row r="5" spans="1:4" x14ac:dyDescent="0.4">
      <c r="A5" s="49" t="s">
        <v>6</v>
      </c>
      <c r="B5" s="8">
        <v>96</v>
      </c>
      <c r="C5">
        <v>999</v>
      </c>
      <c r="D5" s="50">
        <v>181454915.08863801</v>
      </c>
    </row>
    <row r="6" spans="1:4" x14ac:dyDescent="0.4">
      <c r="A6" s="49" t="s">
        <v>8</v>
      </c>
      <c r="B6" s="8">
        <v>10</v>
      </c>
      <c r="C6" s="8">
        <v>10</v>
      </c>
      <c r="D6" s="50">
        <v>62794.971096000001</v>
      </c>
    </row>
    <row r="7" spans="1:4" x14ac:dyDescent="0.4">
      <c r="A7" s="49" t="s">
        <v>10</v>
      </c>
      <c r="B7" s="8">
        <v>75</v>
      </c>
      <c r="C7" s="8">
        <v>578</v>
      </c>
      <c r="D7" s="50">
        <v>122785432.82216901</v>
      </c>
    </row>
    <row r="8" spans="1:4" x14ac:dyDescent="0.4">
      <c r="A8" s="49" t="s">
        <v>7</v>
      </c>
      <c r="B8" s="8">
        <v>15</v>
      </c>
      <c r="C8" s="8">
        <v>43</v>
      </c>
      <c r="D8" s="50">
        <v>3174436.2482790002</v>
      </c>
    </row>
    <row r="9" spans="1:4" x14ac:dyDescent="0.4">
      <c r="A9" s="49" t="s">
        <v>5</v>
      </c>
      <c r="B9" s="8">
        <v>217</v>
      </c>
      <c r="C9">
        <v>1451</v>
      </c>
      <c r="D9" s="50">
        <v>116113636.93415099</v>
      </c>
    </row>
    <row r="10" spans="1:4" x14ac:dyDescent="0.4">
      <c r="A10" s="49" t="s">
        <v>66</v>
      </c>
      <c r="B10" s="8">
        <v>1</v>
      </c>
      <c r="C10" s="8">
        <v>1</v>
      </c>
      <c r="D10" s="50">
        <v>3828.4309079999998</v>
      </c>
    </row>
    <row r="11" spans="1:4" ht="18" customHeight="1" thickBot="1" x14ac:dyDescent="0.45">
      <c r="A11" s="11" t="s">
        <v>11</v>
      </c>
      <c r="B11" s="3">
        <f>SUM(B3:B10)</f>
        <v>460</v>
      </c>
      <c r="C11" s="4">
        <f>SUM(C3:C10)</f>
        <v>3261</v>
      </c>
      <c r="D11" s="51">
        <f>SUM(D3:D10)</f>
        <v>437204395.43405604</v>
      </c>
    </row>
    <row r="12" spans="1:4" ht="19.5" customHeight="1" thickBot="1" x14ac:dyDescent="0.45">
      <c r="A12" s="61" t="s">
        <v>57</v>
      </c>
      <c r="B12" s="62"/>
      <c r="C12" s="63"/>
      <c r="D12" s="52">
        <v>447112471.68407702</v>
      </c>
    </row>
    <row r="13" spans="1:4" ht="16.75" thickBot="1" x14ac:dyDescent="0.45">
      <c r="A13" s="32" t="s">
        <v>50</v>
      </c>
      <c r="B13" s="33"/>
      <c r="C13" s="33"/>
      <c r="D13" s="27">
        <v>8939192</v>
      </c>
    </row>
    <row r="14" spans="1:4" ht="16.75" thickBot="1" x14ac:dyDescent="0.45">
      <c r="A14" s="64" t="s">
        <v>52</v>
      </c>
      <c r="B14" s="65"/>
      <c r="C14" s="65"/>
      <c r="D14" s="38">
        <f>D11/D13/100</f>
        <v>0.48908715176277234</v>
      </c>
    </row>
    <row r="16" spans="1:4" x14ac:dyDescent="0.4">
      <c r="A16" s="44"/>
      <c r="B16" s="44"/>
      <c r="C16" s="44"/>
      <c r="D16" s="44"/>
    </row>
    <row r="17" spans="1:4" ht="36.450000000000003" customHeight="1" x14ac:dyDescent="0.4">
      <c r="A17" s="66" t="s">
        <v>76</v>
      </c>
      <c r="B17" s="66"/>
      <c r="C17" s="66"/>
      <c r="D17" s="66"/>
    </row>
    <row r="18" spans="1:4" ht="20.149999999999999" customHeight="1" x14ac:dyDescent="0.4">
      <c r="A18" s="66" t="s">
        <v>77</v>
      </c>
      <c r="B18" s="66"/>
      <c r="C18" s="66"/>
      <c r="D18" s="66"/>
    </row>
    <row r="19" spans="1:4" ht="27.45" customHeight="1" x14ac:dyDescent="0.4">
      <c r="A19" s="66" t="s">
        <v>78</v>
      </c>
      <c r="B19" s="66"/>
      <c r="C19" s="66"/>
      <c r="D19" s="66"/>
    </row>
    <row r="20" spans="1:4" ht="25" customHeight="1" x14ac:dyDescent="0.4">
      <c r="A20" s="66" t="s">
        <v>72</v>
      </c>
      <c r="B20" s="66"/>
      <c r="C20" s="66"/>
      <c r="D20" s="66"/>
    </row>
    <row r="21" spans="1:4" x14ac:dyDescent="0.4">
      <c r="A21" s="9"/>
      <c r="B21" s="44"/>
      <c r="C21" s="44"/>
      <c r="D21" s="44"/>
    </row>
    <row r="22" spans="1:4" x14ac:dyDescent="0.4">
      <c r="A22" s="9"/>
      <c r="B22" s="44"/>
      <c r="C22" s="44"/>
      <c r="D22" s="44"/>
    </row>
    <row r="23" spans="1:4" ht="26.7" customHeight="1" x14ac:dyDescent="0.4">
      <c r="A23" s="66" t="s">
        <v>85</v>
      </c>
      <c r="B23" s="66"/>
      <c r="C23" s="66"/>
      <c r="D23" s="66"/>
    </row>
    <row r="24" spans="1:4" ht="37.200000000000003" customHeight="1" x14ac:dyDescent="0.4">
      <c r="A24" s="66" t="s">
        <v>74</v>
      </c>
      <c r="B24" s="66"/>
      <c r="C24" s="66"/>
      <c r="D24" s="66"/>
    </row>
    <row r="25" spans="1:4" ht="33.450000000000003" customHeight="1" x14ac:dyDescent="0.4">
      <c r="A25" s="66" t="s">
        <v>75</v>
      </c>
      <c r="B25" s="66"/>
      <c r="C25" s="66"/>
      <c r="D25" s="66"/>
    </row>
  </sheetData>
  <mergeCells count="10">
    <mergeCell ref="A12:C12"/>
    <mergeCell ref="A14:C14"/>
    <mergeCell ref="A1:D1"/>
    <mergeCell ref="A24:D24"/>
    <mergeCell ref="A25:D25"/>
    <mergeCell ref="A17:D17"/>
    <mergeCell ref="A18:D18"/>
    <mergeCell ref="A19:D19"/>
    <mergeCell ref="A20:D20"/>
    <mergeCell ref="A23:D23"/>
  </mergeCells>
  <pageMargins left="0.7" right="0.7" top="0.75" bottom="0.75" header="0.3" footer="0.3"/>
  <headerFooter>
    <oddHeader>&amp;C&amp;"Calibri"&amp;12&amp;KFF0000 OFFICIAL&amp;1#_x000D_</oddHeader>
    <oddFooter>&amp;C_x000D_&amp;1#&amp;"Calibri"&amp;12&amp;KFF0000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tabSelected="1" workbookViewId="0">
      <selection sqref="A1:D1"/>
    </sheetView>
  </sheetViews>
  <sheetFormatPr defaultRowHeight="14.6" x14ac:dyDescent="0.4"/>
  <cols>
    <col min="1" max="1" width="24.69140625" customWidth="1"/>
    <col min="2" max="2" width="27.3828125" customWidth="1"/>
    <col min="3" max="3" width="31.53515625" bestFit="1" customWidth="1"/>
    <col min="4" max="4" width="34.3828125" bestFit="1" customWidth="1"/>
    <col min="5" max="5" width="11.53515625" bestFit="1" customWidth="1"/>
    <col min="7" max="7" width="12" bestFit="1" customWidth="1"/>
  </cols>
  <sheetData>
    <row r="1" spans="1:6" ht="25" customHeight="1" thickBot="1" x14ac:dyDescent="0.45">
      <c r="A1" s="67" t="s">
        <v>68</v>
      </c>
      <c r="B1" s="68"/>
      <c r="C1" s="68"/>
      <c r="D1" s="68"/>
    </row>
    <row r="2" spans="1:6" ht="29.25" customHeight="1" x14ac:dyDescent="0.4">
      <c r="A2" s="29" t="s">
        <v>12</v>
      </c>
      <c r="B2" s="30" t="s">
        <v>20</v>
      </c>
      <c r="C2" s="30" t="s">
        <v>80</v>
      </c>
      <c r="D2" s="31" t="s">
        <v>82</v>
      </c>
    </row>
    <row r="3" spans="1:6" x14ac:dyDescent="0.4">
      <c r="A3" s="42" t="s">
        <v>13</v>
      </c>
      <c r="B3" s="2">
        <v>18</v>
      </c>
      <c r="C3" s="2">
        <v>336371.08688216942</v>
      </c>
      <c r="D3" s="47">
        <v>336371.08716377022</v>
      </c>
      <c r="E3" s="45"/>
    </row>
    <row r="4" spans="1:6" x14ac:dyDescent="0.4">
      <c r="A4" s="42" t="s">
        <v>14</v>
      </c>
      <c r="B4" s="2">
        <v>6</v>
      </c>
      <c r="C4" s="2">
        <v>2291107.8928222661</v>
      </c>
      <c r="D4" s="58">
        <v>1473278.30688476</v>
      </c>
    </row>
    <row r="5" spans="1:6" x14ac:dyDescent="0.4">
      <c r="A5" s="42" t="s">
        <v>15</v>
      </c>
      <c r="B5" s="2">
        <v>101</v>
      </c>
      <c r="C5" s="2">
        <v>2810147.2313011521</v>
      </c>
      <c r="D5" s="48">
        <v>9988304.2624089997</v>
      </c>
      <c r="E5" s="41"/>
    </row>
    <row r="6" spans="1:6" x14ac:dyDescent="0.4">
      <c r="A6" s="42" t="s">
        <v>16</v>
      </c>
      <c r="B6" s="2">
        <v>27</v>
      </c>
      <c r="C6" s="2">
        <v>2672654.6692300141</v>
      </c>
      <c r="D6" s="47">
        <v>2672654.6616391698</v>
      </c>
    </row>
    <row r="7" spans="1:6" x14ac:dyDescent="0.4">
      <c r="A7" s="42" t="s">
        <v>17</v>
      </c>
      <c r="B7" s="2">
        <v>41</v>
      </c>
      <c r="C7" s="2">
        <v>145071.89233549591</v>
      </c>
      <c r="D7" s="47">
        <v>145071.89327828601</v>
      </c>
    </row>
    <row r="8" spans="1:6" x14ac:dyDescent="0.4">
      <c r="A8" s="42" t="s">
        <v>18</v>
      </c>
      <c r="B8" s="2">
        <v>30</v>
      </c>
      <c r="C8" s="2">
        <v>116054.8860640526</v>
      </c>
      <c r="D8" s="47">
        <v>116054.8856078728</v>
      </c>
    </row>
    <row r="9" spans="1:6" x14ac:dyDescent="0.4">
      <c r="A9" s="42" t="s">
        <v>19</v>
      </c>
      <c r="B9" s="2">
        <v>43</v>
      </c>
      <c r="C9" s="2">
        <v>5305930.570948692</v>
      </c>
      <c r="D9" s="47">
        <v>5305930.3369490001</v>
      </c>
    </row>
    <row r="10" spans="1:6" x14ac:dyDescent="0.4">
      <c r="A10" s="42" t="s">
        <v>69</v>
      </c>
      <c r="B10" s="2">
        <v>72</v>
      </c>
      <c r="C10" s="2">
        <v>423527057.20447147</v>
      </c>
      <c r="D10" s="47">
        <v>417166710.86080992</v>
      </c>
    </row>
    <row r="11" spans="1:6" ht="15" thickBot="1" x14ac:dyDescent="0.45">
      <c r="A11" s="11" t="s">
        <v>11</v>
      </c>
      <c r="B11" s="4">
        <f>SUM(B3:B10)</f>
        <v>338</v>
      </c>
      <c r="C11" s="55">
        <f>SUM(C3:C10)</f>
        <v>437204395.43405533</v>
      </c>
      <c r="D11" s="34">
        <f>SUM(D3:D10)</f>
        <v>437204376.29474175</v>
      </c>
      <c r="F11" s="41"/>
    </row>
    <row r="12" spans="1:6" ht="27" customHeight="1" thickBot="1" x14ac:dyDescent="0.45">
      <c r="A12" s="69" t="s">
        <v>57</v>
      </c>
      <c r="B12" s="70"/>
      <c r="C12" s="56">
        <v>447112471.68407702</v>
      </c>
      <c r="D12" s="46"/>
    </row>
    <row r="13" spans="1:6" ht="22.5" customHeight="1" thickBot="1" x14ac:dyDescent="0.45">
      <c r="A13" s="32" t="s">
        <v>50</v>
      </c>
      <c r="B13" s="33"/>
      <c r="C13" s="27">
        <v>8939192</v>
      </c>
      <c r="D13" s="7"/>
    </row>
    <row r="14" spans="1:6" ht="21.75" customHeight="1" thickBot="1" x14ac:dyDescent="0.45">
      <c r="A14" s="64" t="s">
        <v>52</v>
      </c>
      <c r="B14" s="65"/>
      <c r="C14" s="17">
        <f>C11/C13/100</f>
        <v>0.48908715176277157</v>
      </c>
      <c r="D14" s="43"/>
    </row>
    <row r="15" spans="1:6" x14ac:dyDescent="0.4">
      <c r="D15" s="41"/>
    </row>
    <row r="16" spans="1:6" ht="18" customHeight="1" x14ac:dyDescent="0.4">
      <c r="A16" s="9"/>
      <c r="B16" s="57"/>
      <c r="C16" s="9"/>
      <c r="D16" s="9"/>
    </row>
    <row r="17" spans="1:4" ht="27.45" customHeight="1" x14ac:dyDescent="0.4">
      <c r="A17" s="60" t="s">
        <v>79</v>
      </c>
      <c r="B17" s="60"/>
      <c r="C17" s="60"/>
      <c r="D17" s="60"/>
    </row>
    <row r="18" spans="1:4" ht="27.45" customHeight="1" x14ac:dyDescent="0.4">
      <c r="A18" s="60" t="s">
        <v>71</v>
      </c>
      <c r="B18" s="60"/>
      <c r="C18" s="60"/>
      <c r="D18" s="60"/>
    </row>
    <row r="19" spans="1:4" ht="22.95" customHeight="1" x14ac:dyDescent="0.4">
      <c r="A19" s="60" t="s">
        <v>81</v>
      </c>
      <c r="B19" s="60"/>
      <c r="C19" s="60"/>
      <c r="D19" s="60"/>
    </row>
    <row r="20" spans="1:4" ht="27.45" customHeight="1" x14ac:dyDescent="0.4">
      <c r="A20" s="60" t="s">
        <v>72</v>
      </c>
      <c r="B20" s="60"/>
      <c r="C20" s="60"/>
      <c r="D20" s="60"/>
    </row>
    <row r="21" spans="1:4" ht="52.5" customHeight="1" x14ac:dyDescent="0.4">
      <c r="A21" s="60" t="s">
        <v>83</v>
      </c>
      <c r="B21" s="60"/>
      <c r="C21" s="60"/>
      <c r="D21" s="60"/>
    </row>
    <row r="22" spans="1:4" ht="27.45" customHeight="1" x14ac:dyDescent="0.4">
      <c r="A22" s="60" t="s">
        <v>85</v>
      </c>
      <c r="B22" s="60"/>
      <c r="C22" s="60"/>
      <c r="D22" s="60"/>
    </row>
    <row r="23" spans="1:4" ht="35.700000000000003" customHeight="1" x14ac:dyDescent="0.4">
      <c r="A23" s="60" t="s">
        <v>74</v>
      </c>
      <c r="B23" s="60"/>
      <c r="C23" s="60"/>
      <c r="D23" s="60"/>
    </row>
    <row r="24" spans="1:4" ht="36.450000000000003" customHeight="1" x14ac:dyDescent="0.4">
      <c r="A24" s="60" t="s">
        <v>75</v>
      </c>
      <c r="B24" s="60"/>
      <c r="C24" s="60"/>
      <c r="D24" s="60"/>
    </row>
  </sheetData>
  <mergeCells count="11">
    <mergeCell ref="A22:D22"/>
    <mergeCell ref="A23:D23"/>
    <mergeCell ref="A24:D24"/>
    <mergeCell ref="A1:D1"/>
    <mergeCell ref="A19:D19"/>
    <mergeCell ref="A17:D17"/>
    <mergeCell ref="A18:D18"/>
    <mergeCell ref="A20:D20"/>
    <mergeCell ref="A21:D21"/>
    <mergeCell ref="A14:B14"/>
    <mergeCell ref="A12:B12"/>
  </mergeCells>
  <pageMargins left="0.7" right="0.7" top="0.75" bottom="0.75" header="0.3" footer="0.3"/>
  <headerFooter>
    <oddHeader>&amp;C&amp;"Calibri"&amp;12&amp;KFF0000 OFFICIAL&amp;1#_x000D_</oddHeader>
    <oddFooter>&amp;C_x000D_&amp;1#&amp;"Calibri"&amp;12&amp;KFF0000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a95247a4-6a6b-40fb-87b6-0fb2f012c5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29ebb019d354d671b53245c09b1e2d80">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a95247a4-6a6b-40fb-87b6-0fb2f012c536" targetNamespace="http://schemas.microsoft.com/office/2006/metadata/properties" ma:root="true" ma:fieldsID="25bdb6a5bc4ffbbe42be2b4704fa052c" ns1:_="" ns2:_="" ns3:_="" ns4:_="" ns5:_="">
    <xsd:import namespace="http://schemas.microsoft.com/sharepoint/v3"/>
    <xsd:import namespace="b98728ac-f998-415c-abee-6b046fb1441e"/>
    <xsd:import namespace="d869c146-c82e-4435-92e4-da91542262fd"/>
    <xsd:import namespace="d81c2681-db7b-4a56-9abd-a3238a78f6b2"/>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AB9B1F-641B-4B50-A4EE-6A074A74E0EA}">
  <ds:schemaRefs>
    <ds:schemaRef ds:uri="d869c146-c82e-4435-92e4-da91542262fd"/>
    <ds:schemaRef ds:uri="http://schemas.microsoft.com/office/infopath/2007/PartnerControls"/>
    <ds:schemaRef ds:uri="http://schemas.microsoft.com/sharepoint/v3"/>
    <ds:schemaRef ds:uri="http://schemas.microsoft.com/office/2006/documentManagement/types"/>
    <ds:schemaRef ds:uri="http://schemas.openxmlformats.org/package/2006/metadata/core-properties"/>
    <ds:schemaRef ds:uri="a95247a4-6a6b-40fb-87b6-0fb2f012c536"/>
    <ds:schemaRef ds:uri="http://purl.org/dc/terms/"/>
    <ds:schemaRef ds:uri="d81c2681-db7b-4a56-9abd-a3238a78f6b2"/>
    <ds:schemaRef ds:uri="http://purl.org/dc/dcmitype/"/>
    <ds:schemaRef ds:uri="b98728ac-f998-415c-abee-6b046fb1441e"/>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90647B3B-624D-402D-9477-52295A467B60}">
  <ds:schemaRefs>
    <ds:schemaRef ds:uri="http://schemas.microsoft.com/sharepoint/v3/contenttype/forms"/>
  </ds:schemaRefs>
</ds:datastoreItem>
</file>

<file path=customXml/itemProps3.xml><?xml version="1.0" encoding="utf-8"?>
<ds:datastoreItem xmlns:ds="http://schemas.openxmlformats.org/officeDocument/2006/customXml" ds:itemID="{AD219C94-9AE9-4FBB-ACCE-EDB2BF7581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a95247a4-6a6b-40fb-87b6-0fb2f012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vt:lpstr>
      <vt:lpstr>IUCN</vt:lpstr>
      <vt:lpstr>Jurisdiction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Marine Protected Areas and Sea Country IPAs by Area 2024</dc:title>
  <dc:creator>Kristen ERNST</dc:creator>
  <cp:lastModifiedBy>Wendy PHAM</cp:lastModifiedBy>
  <dcterms:created xsi:type="dcterms:W3CDTF">2024-12-02T01:23:41Z</dcterms:created>
  <dcterms:modified xsi:type="dcterms:W3CDTF">2025-05-09T02:24:57Z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ies>
</file>