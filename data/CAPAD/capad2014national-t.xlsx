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TYPE" sheetId="1" r:id="rId1"/>
    <sheet name="JURISDICTION" sheetId="2" r:id="rId2"/>
    <sheet name="GOVERNANCE" sheetId="3" r:id="rId3"/>
    <sheet name="IUCN CATEGORY" sheetId="4" r:id="rId4"/>
    <sheet name="IBRA BIOREGIONS" sheetId="6" r:id="rId5"/>
    <sheet name="BIOREGION BY IUCN" sheetId="5" r:id="rId6"/>
    <sheet name="IBRA SUBREGIONS" sheetId="7" r:id="rId7"/>
  </sheets>
  <calcPr calcId="125725"/>
</workbook>
</file>

<file path=xl/calcChain.xml><?xml version="1.0" encoding="utf-8"?>
<calcChain xmlns="http://schemas.openxmlformats.org/spreadsheetml/2006/main">
  <c r="G4" i="7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3"/>
</calcChain>
</file>

<file path=xl/sharedStrings.xml><?xml version="1.0" encoding="utf-8"?>
<sst xmlns="http://schemas.openxmlformats.org/spreadsheetml/2006/main" count="2404" uniqueCount="1174">
  <si>
    <t>Terrestrial Protected Areas in Australia by Type (2014)</t>
  </si>
  <si>
    <t>Designation - Protected Area Type</t>
  </si>
  <si>
    <t>Number</t>
  </si>
  <si>
    <t>*Area (ha)</t>
  </si>
  <si>
    <t>Jurisdiction(s)</t>
  </si>
  <si>
    <t>% of Australia</t>
  </si>
  <si>
    <t>5(1)(g) Reserve</t>
  </si>
  <si>
    <t>WA</t>
  </si>
  <si>
    <t>5(1)(h) Reserve</t>
  </si>
  <si>
    <t>Aboriginal Area</t>
  </si>
  <si>
    <t>NSW</t>
  </si>
  <si>
    <t>Antarctic Specially Managed Area</t>
  </si>
  <si>
    <t>EXT</t>
  </si>
  <si>
    <t>Antarctic Specially Protected Area</t>
  </si>
  <si>
    <t>Biodiversity Hotspot</t>
  </si>
  <si>
    <t>NT, QLD, SA, WA</t>
  </si>
  <si>
    <t>CCA Zone 1 National Park</t>
  </si>
  <si>
    <t>CCA Zone 3 State Conservation Area</t>
  </si>
  <si>
    <t>Coastal Reserve</t>
  </si>
  <si>
    <t>NT</t>
  </si>
  <si>
    <t>Conservation Area</t>
  </si>
  <si>
    <t>NT, TAS</t>
  </si>
  <si>
    <t>Conservation Covenant</t>
  </si>
  <si>
    <t>Conservation Park</t>
  </si>
  <si>
    <t>SA, VIC, WA</t>
  </si>
  <si>
    <t>Conservation Reserve</t>
  </si>
  <si>
    <t>NT, SA</t>
  </si>
  <si>
    <t>Coordinated Conservation Area</t>
  </si>
  <si>
    <t>QLD</t>
  </si>
  <si>
    <t>Flora Reserve</t>
  </si>
  <si>
    <t>Forest Reserve</t>
  </si>
  <si>
    <t>SA</t>
  </si>
  <si>
    <t>Game Reserve</t>
  </si>
  <si>
    <t>SA, TAS</t>
  </si>
  <si>
    <t>Heritage Agreement</t>
  </si>
  <si>
    <t>Heritage River</t>
  </si>
  <si>
    <t>VIC</t>
  </si>
  <si>
    <t>Historic Site</t>
  </si>
  <si>
    <t>NSW, TAS</t>
  </si>
  <si>
    <t>Historical Reserve</t>
  </si>
  <si>
    <t>Hunting Reserve</t>
  </si>
  <si>
    <t>Indigenous Protected Area</t>
  </si>
  <si>
    <t>NSW, NT, QLD, SA, TAS, VIC, WA</t>
  </si>
  <si>
    <t>Karst Conservation Reserve</t>
  </si>
  <si>
    <t>Marine National Park</t>
  </si>
  <si>
    <t>Marine Sanctuary</t>
  </si>
  <si>
    <t>Miscellaneous Reserve</t>
  </si>
  <si>
    <t>National Park</t>
  </si>
  <si>
    <t>ACT, NSW, NT, QLD, SA, TAS, VIC, WA</t>
  </si>
  <si>
    <t>National Park (Commonwealth)</t>
  </si>
  <si>
    <t>EXT, NSW, NT</t>
  </si>
  <si>
    <t>National Park Aboriginal</t>
  </si>
  <si>
    <t>National Parks Act Schedule 4 park or reserve</t>
  </si>
  <si>
    <t>Natural Catchment Area</t>
  </si>
  <si>
    <t>Natural Features Reserve</t>
  </si>
  <si>
    <t>Nature Conservation Reserve</t>
  </si>
  <si>
    <t>Nature Park</t>
  </si>
  <si>
    <t>Nature Recreation Area</t>
  </si>
  <si>
    <t>TAS</t>
  </si>
  <si>
    <t>Nature Refuge</t>
  </si>
  <si>
    <t>Nature Reserve</t>
  </si>
  <si>
    <t>ACT, NSW, TAS, WA</t>
  </si>
  <si>
    <t>NRS Addition - Gazettal in Progress</t>
  </si>
  <si>
    <t>Other</t>
  </si>
  <si>
    <t>Other Conservation Area</t>
  </si>
  <si>
    <t>Other Conservation Area / Nature Park</t>
  </si>
  <si>
    <t>Permanent Park Preserve</t>
  </si>
  <si>
    <t>Private Nature Reserve</t>
  </si>
  <si>
    <t>Private Sanctuary</t>
  </si>
  <si>
    <t>Proposed National Parks Act park or park addition</t>
  </si>
  <si>
    <t>Recreation Park</t>
  </si>
  <si>
    <t>Reference Area</t>
  </si>
  <si>
    <t>Regional Park</t>
  </si>
  <si>
    <t>NSW, QLD</t>
  </si>
  <si>
    <t>Regional Reserve</t>
  </si>
  <si>
    <t>Remote and Natural Area - not scheduled under Nat Parks Act</t>
  </si>
  <si>
    <t>Remote and Natural Area - Schedule 6, National Parks Act</t>
  </si>
  <si>
    <t>State Conservation Area</t>
  </si>
  <si>
    <t>State Park</t>
  </si>
  <si>
    <t>State Reserve</t>
  </si>
  <si>
    <t>Wilderness Park</t>
  </si>
  <si>
    <t>Wilderness Protection Area</t>
  </si>
  <si>
    <t>Wilderness Zone</t>
  </si>
  <si>
    <t>ACT</t>
  </si>
  <si>
    <t>Wilderness Zone - Schedule 5, National Parks Act</t>
  </si>
  <si>
    <t>Total</t>
  </si>
  <si>
    <t/>
  </si>
  <si>
    <t>Total land area of Australia</t>
  </si>
  <si>
    <t>Additional protected areas (see below)</t>
  </si>
  <si>
    <t>% Land Protected on the Australian mainland (including Tasmania)</t>
  </si>
  <si>
    <t>Additional Types (occuring either wholly or partly WITHIN protected areas above)</t>
  </si>
  <si>
    <t>Completely within</t>
  </si>
  <si>
    <t>Overlapping Area</t>
  </si>
  <si>
    <t>NT, QLD, VIC, WA</t>
  </si>
  <si>
    <t>QLD, WA</t>
  </si>
  <si>
    <t>Additional Total</t>
  </si>
  <si>
    <t>Terrestrial Protected Areas in Australia by Jurisdiction (2014)</t>
  </si>
  <si>
    <t>Jurisdiction</t>
  </si>
  <si>
    <t>Jurisdiction Area (ha)</t>
  </si>
  <si>
    <t>Protected Area (ha)</t>
  </si>
  <si>
    <t>Average size (ha)</t>
  </si>
  <si>
    <t xml:space="preserve">% of Jurisdiction Protected </t>
  </si>
  <si>
    <t>Contribution to NRS (%)</t>
  </si>
  <si>
    <t>Area of Australia</t>
  </si>
  <si>
    <t>The Average Size is the average area of each reserve polygon rather than the average size of each reserve in total.</t>
  </si>
  <si>
    <t>Terrestrial Protected Areas in Australia by Governance (2014)</t>
  </si>
  <si>
    <t>Governance</t>
  </si>
  <si>
    <t>Total Area (ha)</t>
  </si>
  <si>
    <t>Community</t>
  </si>
  <si>
    <t>Government</t>
  </si>
  <si>
    <t>Joint</t>
  </si>
  <si>
    <t>Private</t>
  </si>
  <si>
    <t>Terrestrial Protected Areas in Australia by IUCN Management Category (2014)</t>
  </si>
  <si>
    <t>IUCN Category</t>
  </si>
  <si>
    <t>Area (ha)</t>
  </si>
  <si>
    <t>IA</t>
  </si>
  <si>
    <t>IB</t>
  </si>
  <si>
    <t>II</t>
  </si>
  <si>
    <t>III</t>
  </si>
  <si>
    <t>IV</t>
  </si>
  <si>
    <t>NA</t>
  </si>
  <si>
    <t>V</t>
  </si>
  <si>
    <t>VI</t>
  </si>
  <si>
    <t>I-IV Total</t>
  </si>
  <si>
    <t>V-VI Total</t>
  </si>
  <si>
    <t>Terrestrial Protected Areas in Australia by IUCN Management Category in each Bioregion (IBRA Version 7)(2014)</t>
  </si>
  <si>
    <t>IBRA Region</t>
  </si>
  <si>
    <t>IBRA Code</t>
  </si>
  <si>
    <t>% IBRA</t>
  </si>
  <si>
    <t>IBRA Area (ha)</t>
  </si>
  <si>
    <t>Arnhem Coast</t>
  </si>
  <si>
    <t>ARC</t>
  </si>
  <si>
    <t>Arnhem Plateau</t>
  </si>
  <si>
    <t>ARP</t>
  </si>
  <si>
    <t>Australian Alps</t>
  </si>
  <si>
    <t>AUA</t>
  </si>
  <si>
    <t>Avon Wheatbelt</t>
  </si>
  <si>
    <t>AVW</t>
  </si>
  <si>
    <t>Ben Lomond</t>
  </si>
  <si>
    <t>BEL</t>
  </si>
  <si>
    <t>Brigalow Belt North</t>
  </si>
  <si>
    <t>BBN</t>
  </si>
  <si>
    <t>Brigalow Belt South</t>
  </si>
  <si>
    <t>BBS</t>
  </si>
  <si>
    <t>Broken Hill Complex</t>
  </si>
  <si>
    <t>BHC</t>
  </si>
  <si>
    <t>Burt Plain</t>
  </si>
  <si>
    <t>BRT</t>
  </si>
  <si>
    <t>Cape York Peninsula</t>
  </si>
  <si>
    <t>CYP</t>
  </si>
  <si>
    <t>Carnarvon</t>
  </si>
  <si>
    <t>CAR</t>
  </si>
  <si>
    <t>Central Arnhem</t>
  </si>
  <si>
    <t>CEA</t>
  </si>
  <si>
    <t>Central Kimberley</t>
  </si>
  <si>
    <t>CEK</t>
  </si>
  <si>
    <t>Central Mackay Coast</t>
  </si>
  <si>
    <t>CMC</t>
  </si>
  <si>
    <t>Central Ranges</t>
  </si>
  <si>
    <t>CER</t>
  </si>
  <si>
    <t>Channel Country</t>
  </si>
  <si>
    <t>CHC</t>
  </si>
  <si>
    <t>Cobar Peneplain</t>
  </si>
  <si>
    <t>COP</t>
  </si>
  <si>
    <t>Coolgardie</t>
  </si>
  <si>
    <t>COO</t>
  </si>
  <si>
    <t>Daly Basin</t>
  </si>
  <si>
    <t>DAB</t>
  </si>
  <si>
    <t>Dampierland</t>
  </si>
  <si>
    <t>DAL</t>
  </si>
  <si>
    <t>Darling Riverine Plains</t>
  </si>
  <si>
    <t>DRP</t>
  </si>
  <si>
    <t>Darwin Coastal</t>
  </si>
  <si>
    <t>DAC</t>
  </si>
  <si>
    <t>Davenport Murchison Ranges</t>
  </si>
  <si>
    <t>DMR</t>
  </si>
  <si>
    <t>Desert Uplands</t>
  </si>
  <si>
    <t>DEU</t>
  </si>
  <si>
    <t>Einasleigh Uplands</t>
  </si>
  <si>
    <t>EIU</t>
  </si>
  <si>
    <t>Esperance Plains</t>
  </si>
  <si>
    <t>ESP</t>
  </si>
  <si>
    <t>Eyre Yorke Block</t>
  </si>
  <si>
    <t>EYB</t>
  </si>
  <si>
    <t>Finke</t>
  </si>
  <si>
    <t>FIN</t>
  </si>
  <si>
    <t>Flinders Lofty Block</t>
  </si>
  <si>
    <t>FLB</t>
  </si>
  <si>
    <t>Furneaux</t>
  </si>
  <si>
    <t>FUR</t>
  </si>
  <si>
    <t>Gascoyne</t>
  </si>
  <si>
    <t>GAS</t>
  </si>
  <si>
    <t>Gawler</t>
  </si>
  <si>
    <t>GAW</t>
  </si>
  <si>
    <t>Geraldton Sandplains</t>
  </si>
  <si>
    <t>GES</t>
  </si>
  <si>
    <t>Gibson Desert</t>
  </si>
  <si>
    <t>GID</t>
  </si>
  <si>
    <t>Great Sandy Desert</t>
  </si>
  <si>
    <t>GSD</t>
  </si>
  <si>
    <t>Great Victoria Desert</t>
  </si>
  <si>
    <t>GVD</t>
  </si>
  <si>
    <t>Gulf Coastal</t>
  </si>
  <si>
    <t>GUC</t>
  </si>
  <si>
    <t>Gulf Fall and Uplands</t>
  </si>
  <si>
    <t>GFU</t>
  </si>
  <si>
    <t>Gulf Plains</t>
  </si>
  <si>
    <t>GUP</t>
  </si>
  <si>
    <t>Hampton</t>
  </si>
  <si>
    <t>HAM</t>
  </si>
  <si>
    <t>Indian Tropical Islands</t>
  </si>
  <si>
    <t>ITI</t>
  </si>
  <si>
    <t>Jarrah Forest</t>
  </si>
  <si>
    <t>JAF</t>
  </si>
  <si>
    <t>Kanmantoo</t>
  </si>
  <si>
    <t>KAN</t>
  </si>
  <si>
    <t>King</t>
  </si>
  <si>
    <t>KIN</t>
  </si>
  <si>
    <t>Little Sandy Desert</t>
  </si>
  <si>
    <t>LSD</t>
  </si>
  <si>
    <t>MacDonnell Ranges</t>
  </si>
  <si>
    <t>MAC</t>
  </si>
  <si>
    <t>Mallee</t>
  </si>
  <si>
    <t>MAL</t>
  </si>
  <si>
    <t>Mitchell Grass Downs</t>
  </si>
  <si>
    <t>MGD</t>
  </si>
  <si>
    <t>Mount Isa Inlier</t>
  </si>
  <si>
    <t>MII</t>
  </si>
  <si>
    <t>Mulga Lands</t>
  </si>
  <si>
    <t>MUL</t>
  </si>
  <si>
    <t>Murchison</t>
  </si>
  <si>
    <t>MUR</t>
  </si>
  <si>
    <t>Murray Darling Depression</t>
  </si>
  <si>
    <t>MDD</t>
  </si>
  <si>
    <t>Nandewar</t>
  </si>
  <si>
    <t>NAN</t>
  </si>
  <si>
    <t>Naracoorte Coastal Plain</t>
  </si>
  <si>
    <t>NCP</t>
  </si>
  <si>
    <t>New England Tablelands</t>
  </si>
  <si>
    <t>NET</t>
  </si>
  <si>
    <t>Northern Kimberley</t>
  </si>
  <si>
    <t>NOK</t>
  </si>
  <si>
    <t>NSW North Coast</t>
  </si>
  <si>
    <t>NNC</t>
  </si>
  <si>
    <t>NSW South Western Slopes</t>
  </si>
  <si>
    <t>NSS</t>
  </si>
  <si>
    <t>Nullarbor</t>
  </si>
  <si>
    <t>NUL</t>
  </si>
  <si>
    <t>Ord Victoria Plain</t>
  </si>
  <si>
    <t>OVP</t>
  </si>
  <si>
    <t>Pacific Subtropical Islands</t>
  </si>
  <si>
    <t>PSI</t>
  </si>
  <si>
    <t>Pilbara</t>
  </si>
  <si>
    <t>PIL</t>
  </si>
  <si>
    <t>Pine Creek</t>
  </si>
  <si>
    <t>PCK</t>
  </si>
  <si>
    <t>Riverina</t>
  </si>
  <si>
    <t>RIV</t>
  </si>
  <si>
    <t>Simpson Strzelecki Dunefields</t>
  </si>
  <si>
    <t>SSD</t>
  </si>
  <si>
    <t>South East Coastal Plain</t>
  </si>
  <si>
    <t>SCP</t>
  </si>
  <si>
    <t>South East Corner</t>
  </si>
  <si>
    <t>SEC</t>
  </si>
  <si>
    <t>South Eastern Highlands</t>
  </si>
  <si>
    <t>SEH</t>
  </si>
  <si>
    <t>South Eastern Queensland</t>
  </si>
  <si>
    <t>SEQ</t>
  </si>
  <si>
    <t>Southern Volcanic Plain</t>
  </si>
  <si>
    <t>SVP</t>
  </si>
  <si>
    <t>Stony Plains</t>
  </si>
  <si>
    <t>STP</t>
  </si>
  <si>
    <t>Sturt Plateau</t>
  </si>
  <si>
    <t>STU</t>
  </si>
  <si>
    <t>Subantarctic Islands</t>
  </si>
  <si>
    <t>SAI</t>
  </si>
  <si>
    <t>Swan Coastal Plain</t>
  </si>
  <si>
    <t>SWA</t>
  </si>
  <si>
    <t>Sydney Basin</t>
  </si>
  <si>
    <t>SYB</t>
  </si>
  <si>
    <t>Tanami</t>
  </si>
  <si>
    <t>TAN</t>
  </si>
  <si>
    <t>Tasmanian Central Highlands</t>
  </si>
  <si>
    <t>TCH</t>
  </si>
  <si>
    <t>Tasmanian Northern Midlands</t>
  </si>
  <si>
    <t>TNM</t>
  </si>
  <si>
    <t>Tasmanian Northern Slopes</t>
  </si>
  <si>
    <t>TNS</t>
  </si>
  <si>
    <t>Tasmanian South East</t>
  </si>
  <si>
    <t>TSE</t>
  </si>
  <si>
    <t>Tasmanian Southern Ranges</t>
  </si>
  <si>
    <t>TSR</t>
  </si>
  <si>
    <t>Tasmanian West</t>
  </si>
  <si>
    <t>TWE</t>
  </si>
  <si>
    <t>Tiwi Cobourg</t>
  </si>
  <si>
    <t>TIW</t>
  </si>
  <si>
    <t>Victoria Bonaparte</t>
  </si>
  <si>
    <t>VIB</t>
  </si>
  <si>
    <t>Victorian Midlands</t>
  </si>
  <si>
    <t>VIM</t>
  </si>
  <si>
    <t>Warren</t>
  </si>
  <si>
    <t>WAR</t>
  </si>
  <si>
    <t>Wet Tropics</t>
  </si>
  <si>
    <t>WET</t>
  </si>
  <si>
    <t>Yalgoo</t>
  </si>
  <si>
    <t>YAL</t>
  </si>
  <si>
    <t>*GIS_AREA: area in hectares based on current spatial data and an Albers equal area projection for Australia. Where protected area consists of multiple polygons (parts) the GIS_AREA is the sum of all the polygons with the same name, type, state and IUCN category.</t>
  </si>
  <si>
    <t>Terrestrial Protected Areas in Australia by Bioregion (IBRA Version 7) (2014)</t>
  </si>
  <si>
    <t>*Protected Area (ha)</t>
  </si>
  <si>
    <t>Percent Protected (% IBRA)</t>
  </si>
  <si>
    <t>Contribution to NRS</t>
  </si>
  <si>
    <t>ACT, NSW, VIC</t>
  </si>
  <si>
    <t>NSW, SA</t>
  </si>
  <si>
    <t>SA, WA</t>
  </si>
  <si>
    <t>NSW, QLD, SA</t>
  </si>
  <si>
    <t>Coral Sea</t>
  </si>
  <si>
    <t>COS</t>
  </si>
  <si>
    <t>-</t>
  </si>
  <si>
    <t>TAS, VIC</t>
  </si>
  <si>
    <t>NT, WA</t>
  </si>
  <si>
    <t>NT, QLD</t>
  </si>
  <si>
    <t>EXT, WA</t>
  </si>
  <si>
    <t>NSW, SA, VIC</t>
  </si>
  <si>
    <t>SA, VIC</t>
  </si>
  <si>
    <t>NSW, VIC</t>
  </si>
  <si>
    <t>EXT, NSW</t>
  </si>
  <si>
    <t>NSW, NT, QLD, SA</t>
  </si>
  <si>
    <t>Terrestrial Protected Areas in Australia (2014)</t>
  </si>
  <si>
    <t>Region Code</t>
  </si>
  <si>
    <t>Subregion Name</t>
  </si>
  <si>
    <t>Subregion Code</t>
  </si>
  <si>
    <t>Subregion Area (ha)</t>
  </si>
  <si>
    <t>*Protected Area</t>
  </si>
  <si>
    <t>Percent Protected (%)</t>
  </si>
  <si>
    <t>Alice Tableland</t>
  </si>
  <si>
    <t>DEU02</t>
  </si>
  <si>
    <t>Alligator</t>
  </si>
  <si>
    <t>ARP01</t>
  </si>
  <si>
    <t>Amedeus</t>
  </si>
  <si>
    <t>GSD04</t>
  </si>
  <si>
    <t>Anakie Inlier</t>
  </si>
  <si>
    <t>BBN09</t>
  </si>
  <si>
    <t>Andado</t>
  </si>
  <si>
    <t>SSD01</t>
  </si>
  <si>
    <t>Angalarri</t>
  </si>
  <si>
    <t>VIB03</t>
  </si>
  <si>
    <t>Arcadia</t>
  </si>
  <si>
    <t>BBS06</t>
  </si>
  <si>
    <t>Arcoona Plateau</t>
  </si>
  <si>
    <t>GAW04</t>
  </si>
  <si>
    <t>Armidale Plateau</t>
  </si>
  <si>
    <t>NET04</t>
  </si>
  <si>
    <t>Armraynald Plains</t>
  </si>
  <si>
    <t>GUP02</t>
  </si>
  <si>
    <t>Ashburton</t>
  </si>
  <si>
    <t>GAS01</t>
  </si>
  <si>
    <t>Ashburton Range</t>
  </si>
  <si>
    <t>DMR01</t>
  </si>
  <si>
    <t>Atartinga</t>
  </si>
  <si>
    <t>BRT02</t>
  </si>
  <si>
    <t>Atherton</t>
  </si>
  <si>
    <t>WET04</t>
  </si>
  <si>
    <t>Augustus</t>
  </si>
  <si>
    <t>GAS03</t>
  </si>
  <si>
    <t>Baltana</t>
  </si>
  <si>
    <t>STP07</t>
  </si>
  <si>
    <t>Banana-Auburn Ranges</t>
  </si>
  <si>
    <t>BBS08</t>
  </si>
  <si>
    <t>Barakula</t>
  </si>
  <si>
    <t>BBS13</t>
  </si>
  <si>
    <t>Barkly</t>
  </si>
  <si>
    <t>DMR03</t>
  </si>
  <si>
    <t>Barkly Tableland</t>
  </si>
  <si>
    <t>MGD02</t>
  </si>
  <si>
    <t>Barnato Downs</t>
  </si>
  <si>
    <t>COP02</t>
  </si>
  <si>
    <t>Barrier Range</t>
  </si>
  <si>
    <t>BHC01</t>
  </si>
  <si>
    <t>Barrier Range Outwash</t>
  </si>
  <si>
    <t>BHC04</t>
  </si>
  <si>
    <t>Barrington</t>
  </si>
  <si>
    <t>NNC13</t>
  </si>
  <si>
    <t>Basalt Downs</t>
  </si>
  <si>
    <t>BBN10</t>
  </si>
  <si>
    <t>Bateman</t>
  </si>
  <si>
    <t>SEC03</t>
  </si>
  <si>
    <t>Bathurst</t>
  </si>
  <si>
    <t>SEH11</t>
  </si>
  <si>
    <t>Battle Camp Sandstones</t>
  </si>
  <si>
    <t>CYP05</t>
  </si>
  <si>
    <t>Beardy River Hills</t>
  </si>
  <si>
    <t>NET02</t>
  </si>
  <si>
    <t>Bellenden Ker-Lamb</t>
  </si>
  <si>
    <t>WET07</t>
  </si>
  <si>
    <t>Belyando Downs</t>
  </si>
  <si>
    <t>BBN07</t>
  </si>
  <si>
    <t>BEL01</t>
  </si>
  <si>
    <t>Berkeley</t>
  </si>
  <si>
    <t>NOK02</t>
  </si>
  <si>
    <t>Beucazon Hills</t>
  </si>
  <si>
    <t>BBN04</t>
  </si>
  <si>
    <t>Bimbowrie</t>
  </si>
  <si>
    <t>BHC05</t>
  </si>
  <si>
    <t>Binghi Plateau</t>
  </si>
  <si>
    <t>NET14</t>
  </si>
  <si>
    <t>Birdum</t>
  </si>
  <si>
    <t>STU03</t>
  </si>
  <si>
    <t>Bogan-Macquarie</t>
  </si>
  <si>
    <t>DRP04</t>
  </si>
  <si>
    <t>Bogie River Hills</t>
  </si>
  <si>
    <t>BBN02</t>
  </si>
  <si>
    <t>Bondo</t>
  </si>
  <si>
    <t>SEH14</t>
  </si>
  <si>
    <t>Boomer Range</t>
  </si>
  <si>
    <t>BBS03</t>
  </si>
  <si>
    <t>Boorindal Plains</t>
  </si>
  <si>
    <t>COP01</t>
  </si>
  <si>
    <t>Braemer</t>
  </si>
  <si>
    <t>MDD07</t>
  </si>
  <si>
    <t>Breakaways</t>
  </si>
  <si>
    <t>STP01</t>
  </si>
  <si>
    <t>Bridgewater</t>
  </si>
  <si>
    <t>NCP01</t>
  </si>
  <si>
    <t>Brisbane-Barambah Volcanics</t>
  </si>
  <si>
    <t>SEQ05</t>
  </si>
  <si>
    <t>Broken River</t>
  </si>
  <si>
    <t>EIU04</t>
  </si>
  <si>
    <t>Broughton</t>
  </si>
  <si>
    <t>FLB02</t>
  </si>
  <si>
    <t>Buckland Basalts</t>
  </si>
  <si>
    <t>BBS09</t>
  </si>
  <si>
    <t>Bulloo</t>
  </si>
  <si>
    <t>CHC11</t>
  </si>
  <si>
    <t>Bulloo Dunefields</t>
  </si>
  <si>
    <t>CHC12</t>
  </si>
  <si>
    <t>Bundarra Downs</t>
  </si>
  <si>
    <t>NET01</t>
  </si>
  <si>
    <t>Bungonia</t>
  </si>
  <si>
    <t>SEH07</t>
  </si>
  <si>
    <t>Burnett-Curtis Coastal Lowlands</t>
  </si>
  <si>
    <t>SEQ08</t>
  </si>
  <si>
    <t>Burnett-Curtis Hills and Ranges</t>
  </si>
  <si>
    <t>SEQ01</t>
  </si>
  <si>
    <t>Burragorang</t>
  </si>
  <si>
    <t>SYB09</t>
  </si>
  <si>
    <t>Burringbar-Conondale Ranges</t>
  </si>
  <si>
    <t>SEQ03</t>
  </si>
  <si>
    <t>Byfield</t>
  </si>
  <si>
    <t>CMC04</t>
  </si>
  <si>
    <t>Callide Creek Downs</t>
  </si>
  <si>
    <t>BBS05</t>
  </si>
  <si>
    <t>Camfield</t>
  </si>
  <si>
    <t>OVP04</t>
  </si>
  <si>
    <t>Canbelego Downs</t>
  </si>
  <si>
    <t>COP03</t>
  </si>
  <si>
    <t>Cape-Campaspe Plains</t>
  </si>
  <si>
    <t>DEU03</t>
  </si>
  <si>
    <t>Cape Range</t>
  </si>
  <si>
    <t>CAR01</t>
  </si>
  <si>
    <t>Cape River Hills</t>
  </si>
  <si>
    <t>BBN03</t>
  </si>
  <si>
    <t>Cape York-Torres Strait</t>
  </si>
  <si>
    <t>CYP03</t>
  </si>
  <si>
    <t>Capertee Uplands</t>
  </si>
  <si>
    <t>SEH17</t>
  </si>
  <si>
    <t>Capertee Valley</t>
  </si>
  <si>
    <t>NSS03</t>
  </si>
  <si>
    <t>Carlisle</t>
  </si>
  <si>
    <t>NUL01</t>
  </si>
  <si>
    <t>Carnarvon Ranges</t>
  </si>
  <si>
    <t>BBS10</t>
  </si>
  <si>
    <t>Carnegie</t>
  </si>
  <si>
    <t>GAS02</t>
  </si>
  <si>
    <t>Carrai Plateau</t>
  </si>
  <si>
    <t>NNC08</t>
  </si>
  <si>
    <t>Castlereagh-Barwon</t>
  </si>
  <si>
    <t>DRP03</t>
  </si>
  <si>
    <t>Cataract</t>
  </si>
  <si>
    <t>NNC02</t>
  </si>
  <si>
    <t>Central</t>
  </si>
  <si>
    <t>GVD02</t>
  </si>
  <si>
    <t>Central Depression</t>
  </si>
  <si>
    <t>CHC13</t>
  </si>
  <si>
    <t>Central Downs</t>
  </si>
  <si>
    <t>MGD07</t>
  </si>
  <si>
    <t>Central Flinders</t>
  </si>
  <si>
    <t>FLB06</t>
  </si>
  <si>
    <t>Central Highlands</t>
  </si>
  <si>
    <t>TCH01</t>
  </si>
  <si>
    <t>Central Victorian Uplands</t>
  </si>
  <si>
    <t>VIM02</t>
  </si>
  <si>
    <t>Chaelundi</t>
  </si>
  <si>
    <t>NNC04</t>
  </si>
  <si>
    <t>Chichester</t>
  </si>
  <si>
    <t>PIL01</t>
  </si>
  <si>
    <t>Christmas Island</t>
  </si>
  <si>
    <t>ITI01</t>
  </si>
  <si>
    <t>Claraville Plains</t>
  </si>
  <si>
    <t>GUP05</t>
  </si>
  <si>
    <t>Clarence Lowlands</t>
  </si>
  <si>
    <t>SEQ13</t>
  </si>
  <si>
    <t>Clarence Sandstones</t>
  </si>
  <si>
    <t>SEQ12</t>
  </si>
  <si>
    <t>Clarke-Connors Ranges</t>
  </si>
  <si>
    <t>CMC03</t>
  </si>
  <si>
    <t>Claude River Downs</t>
  </si>
  <si>
    <t>BBS01</t>
  </si>
  <si>
    <t>Coastal Plains</t>
  </si>
  <si>
    <t>CYP09</t>
  </si>
  <si>
    <t>Cobourg</t>
  </si>
  <si>
    <t>TIW02</t>
  </si>
  <si>
    <t>Cocos Islands</t>
  </si>
  <si>
    <t>ITI02</t>
  </si>
  <si>
    <t>Coen-Yambo Inlier</t>
  </si>
  <si>
    <t>CYP01</t>
  </si>
  <si>
    <t>Coffs Coast and Escarpment</t>
  </si>
  <si>
    <t>NNC06</t>
  </si>
  <si>
    <t>Comboyne Plateau</t>
  </si>
  <si>
    <t>NNC11</t>
  </si>
  <si>
    <t>Commonwealth Hill</t>
  </si>
  <si>
    <t>GAW08</t>
  </si>
  <si>
    <t>Coongie</t>
  </si>
  <si>
    <t>CHC06</t>
  </si>
  <si>
    <t>Cooper-Diamantina Plains</t>
  </si>
  <si>
    <t>CHC05</t>
  </si>
  <si>
    <t>COS01</t>
  </si>
  <si>
    <t>Core Ranges</t>
  </si>
  <si>
    <t>CHC10</t>
  </si>
  <si>
    <t>Crookwell</t>
  </si>
  <si>
    <t>SEH09</t>
  </si>
  <si>
    <t>Culgoa-Bokhara</t>
  </si>
  <si>
    <t>DRP01</t>
  </si>
  <si>
    <t>Cumberland</t>
  </si>
  <si>
    <t>SYB08</t>
  </si>
  <si>
    <t>Curnamona</t>
  </si>
  <si>
    <t>BHC06</t>
  </si>
  <si>
    <t>Cuttaburra-Paroo</t>
  </si>
  <si>
    <t>MUL07</t>
  </si>
  <si>
    <t>Daintree-Bloomfield</t>
  </si>
  <si>
    <t>WET09</t>
  </si>
  <si>
    <t>Dalmorton</t>
  </si>
  <si>
    <t>NNC03</t>
  </si>
  <si>
    <t>DAB01</t>
  </si>
  <si>
    <t>Dandaragan Plateau</t>
  </si>
  <si>
    <t>SWA01</t>
  </si>
  <si>
    <t>Darling Depression</t>
  </si>
  <si>
    <t>MDD06</t>
  </si>
  <si>
    <t>DAC01</t>
  </si>
  <si>
    <t>Davenport</t>
  </si>
  <si>
    <t>DMR02</t>
  </si>
  <si>
    <t>Dawson River Downs</t>
  </si>
  <si>
    <t>BBS07</t>
  </si>
  <si>
    <t>Debella</t>
  </si>
  <si>
    <t>CMC06</t>
  </si>
  <si>
    <t>Deepwater Downs</t>
  </si>
  <si>
    <t>NET06</t>
  </si>
  <si>
    <t>Diamantina-Eyre</t>
  </si>
  <si>
    <t>CHC04</t>
  </si>
  <si>
    <t>Dieri</t>
  </si>
  <si>
    <t>SSD03</t>
  </si>
  <si>
    <t>QLD, SA</t>
  </si>
  <si>
    <t>Donors Plateau</t>
  </si>
  <si>
    <t>GUP08</t>
  </si>
  <si>
    <t>Doomadgee Plains</t>
  </si>
  <si>
    <t>GUP07</t>
  </si>
  <si>
    <t>Dulacca Downs</t>
  </si>
  <si>
    <t>BBS14</t>
  </si>
  <si>
    <t>Dulcie</t>
  </si>
  <si>
    <t>BRT04</t>
  </si>
  <si>
    <t>Dundas Tablelands</t>
  </si>
  <si>
    <t>VIM04</t>
  </si>
  <si>
    <t>Dune Field</t>
  </si>
  <si>
    <t>GID02</t>
  </si>
  <si>
    <t>East Gippsland Lowlands</t>
  </si>
  <si>
    <t>SEC01</t>
  </si>
  <si>
    <t>Eastern Darling Downs</t>
  </si>
  <si>
    <t>BBS17</t>
  </si>
  <si>
    <t>Eastern Goldfield</t>
  </si>
  <si>
    <t>COO03</t>
  </si>
  <si>
    <t>Eastern Mallee</t>
  </si>
  <si>
    <t>MAL01</t>
  </si>
  <si>
    <t>Eastern Mulga Plains</t>
  </si>
  <si>
    <t>MUL02</t>
  </si>
  <si>
    <t>Eastern Murchison</t>
  </si>
  <si>
    <t>MUR01</t>
  </si>
  <si>
    <t>Eastern Nandewars</t>
  </si>
  <si>
    <t>NET16</t>
  </si>
  <si>
    <t>Ebor Basalts</t>
  </si>
  <si>
    <t>NET08</t>
  </si>
  <si>
    <t>Edel</t>
  </si>
  <si>
    <t>YAL01</t>
  </si>
  <si>
    <t>Ehrenberg</t>
  </si>
  <si>
    <t>GSD03</t>
  </si>
  <si>
    <t>Ellerston</t>
  </si>
  <si>
    <t>NNC15</t>
  </si>
  <si>
    <t>Ettrema</t>
  </si>
  <si>
    <t>SYB13</t>
  </si>
  <si>
    <t>Everard Block</t>
  </si>
  <si>
    <t>CER03</t>
  </si>
  <si>
    <t>Eyre Hills</t>
  </si>
  <si>
    <t>EYB03</t>
  </si>
  <si>
    <t>Eyre Mallee</t>
  </si>
  <si>
    <t>EYB05</t>
  </si>
  <si>
    <t>Finke River</t>
  </si>
  <si>
    <t>FIN02</t>
  </si>
  <si>
    <t>Fitzgerald</t>
  </si>
  <si>
    <t>ESP01</t>
  </si>
  <si>
    <t>Fitzroy Trough</t>
  </si>
  <si>
    <t>DAL01</t>
  </si>
  <si>
    <t>Fleurieu</t>
  </si>
  <si>
    <t>KAN02</t>
  </si>
  <si>
    <t>Flinders</t>
  </si>
  <si>
    <t>FUR02</t>
  </si>
  <si>
    <t>Fortescue</t>
  </si>
  <si>
    <t>PIL02</t>
  </si>
  <si>
    <t>Gawler Lakes</t>
  </si>
  <si>
    <t>GAW03</t>
  </si>
  <si>
    <t>Gawler Volcanics</t>
  </si>
  <si>
    <t>GAW02</t>
  </si>
  <si>
    <t>Georgetown-Croydon</t>
  </si>
  <si>
    <t>EIU01</t>
  </si>
  <si>
    <t>Georgina Limestone</t>
  </si>
  <si>
    <t>MGD03</t>
  </si>
  <si>
    <t>Geraldton Hills</t>
  </si>
  <si>
    <t>GES01</t>
  </si>
  <si>
    <t>Gilberton Plateau</t>
  </si>
  <si>
    <t>GUP09</t>
  </si>
  <si>
    <t>Gippsland Plain</t>
  </si>
  <si>
    <t>SCP01</t>
  </si>
  <si>
    <t>Glenelg Plain</t>
  </si>
  <si>
    <t>NCP02</t>
  </si>
  <si>
    <t>Glenn Innes-Guyra Basalts</t>
  </si>
  <si>
    <t>NET07</t>
  </si>
  <si>
    <t>Goldfields</t>
  </si>
  <si>
    <t>VIM01</t>
  </si>
  <si>
    <t>Goneaway Tablelands</t>
  </si>
  <si>
    <t>CHC03</t>
  </si>
  <si>
    <t>Great Darling Anabranch</t>
  </si>
  <si>
    <t>DRP08</t>
  </si>
  <si>
    <t>Great Sandy</t>
  </si>
  <si>
    <t>SEQ09</t>
  </si>
  <si>
    <t>Greater Grampians</t>
  </si>
  <si>
    <t>VIM03</t>
  </si>
  <si>
    <t>Gregory</t>
  </si>
  <si>
    <t>OVP03</t>
  </si>
  <si>
    <t>Groote</t>
  </si>
  <si>
    <t>ARC04</t>
  </si>
  <si>
    <t>Guy Fawkes</t>
  </si>
  <si>
    <t>NNC19</t>
  </si>
  <si>
    <t>Gympie Block</t>
  </si>
  <si>
    <t>SEQ07</t>
  </si>
  <si>
    <t>Hamersley</t>
  </si>
  <si>
    <t>PIL03</t>
  </si>
  <si>
    <t>HAM01</t>
  </si>
  <si>
    <t>Hart</t>
  </si>
  <si>
    <t>CEK02</t>
  </si>
  <si>
    <t>Hartz Range</t>
  </si>
  <si>
    <t>MAC03</t>
  </si>
  <si>
    <t>Heard and McDonald Islands</t>
  </si>
  <si>
    <t>SAI01</t>
  </si>
  <si>
    <t>Henbury</t>
  </si>
  <si>
    <t>FIN01</t>
  </si>
  <si>
    <t>Herbert</t>
  </si>
  <si>
    <t>WET01</t>
  </si>
  <si>
    <t>Herberton-Wairuna</t>
  </si>
  <si>
    <t>EIU06</t>
  </si>
  <si>
    <t>Hermit Creek</t>
  </si>
  <si>
    <t>VIB02</t>
  </si>
  <si>
    <t>Highlands-Northern Fall</t>
  </si>
  <si>
    <t>SEH02</t>
  </si>
  <si>
    <t>Highlands-Southern Fall</t>
  </si>
  <si>
    <t>SEH01</t>
  </si>
  <si>
    <t>Hill End</t>
  </si>
  <si>
    <t>SEH13</t>
  </si>
  <si>
    <t>Hodgkinson Basin</t>
  </si>
  <si>
    <t>EIU03</t>
  </si>
  <si>
    <t>Holroyd Plain-Red Plateau</t>
  </si>
  <si>
    <t>GUP06</t>
  </si>
  <si>
    <t>Hunter</t>
  </si>
  <si>
    <t>SYB02</t>
  </si>
  <si>
    <t>Illawarra</t>
  </si>
  <si>
    <t>SYB12</t>
  </si>
  <si>
    <t>Inglewood Sandstones</t>
  </si>
  <si>
    <t>BBS18</t>
  </si>
  <si>
    <t>Inland Slopes</t>
  </si>
  <si>
    <t>NSS01</t>
  </si>
  <si>
    <t>Innisfail</t>
  </si>
  <si>
    <t>WET03</t>
  </si>
  <si>
    <t>Inverell Basalts</t>
  </si>
  <si>
    <t>NAN02</t>
  </si>
  <si>
    <t>Isaac-Comet Downs</t>
  </si>
  <si>
    <t>BBN11</t>
  </si>
  <si>
    <t>Jardine-Pascoe Sandstones</t>
  </si>
  <si>
    <t>CYP04</t>
  </si>
  <si>
    <t>Jericho</t>
  </si>
  <si>
    <t>DEU04</t>
  </si>
  <si>
    <t>Jervis</t>
  </si>
  <si>
    <t>SYB14</t>
  </si>
  <si>
    <t>Kanangra</t>
  </si>
  <si>
    <t>SEH08</t>
  </si>
  <si>
    <t>Kangaroo Island</t>
  </si>
  <si>
    <t>KAN01</t>
  </si>
  <si>
    <t>Kaputar</t>
  </si>
  <si>
    <t>NAN03</t>
  </si>
  <si>
    <t>Karuah Manning</t>
  </si>
  <si>
    <t>NNC17</t>
  </si>
  <si>
    <t>Karumba Plains</t>
  </si>
  <si>
    <t>GUP01</t>
  </si>
  <si>
    <t>Katanning</t>
  </si>
  <si>
    <t>AVW02</t>
  </si>
  <si>
    <t>Keep</t>
  </si>
  <si>
    <t>VIB01</t>
  </si>
  <si>
    <t>Kerrabee</t>
  </si>
  <si>
    <t>SYB01</t>
  </si>
  <si>
    <t>Kerribree Basin</t>
  </si>
  <si>
    <t>MUL13</t>
  </si>
  <si>
    <t>Kidston</t>
  </si>
  <si>
    <t>EIU02</t>
  </si>
  <si>
    <t>KIN01</t>
  </si>
  <si>
    <t>Kingoonya</t>
  </si>
  <si>
    <t>GAW05</t>
  </si>
  <si>
    <t>Kintore</t>
  </si>
  <si>
    <t>GVD04</t>
  </si>
  <si>
    <t>Kirrama-Hinchinbrook</t>
  </si>
  <si>
    <t>WET06</t>
  </si>
  <si>
    <t>Kybeyan-Gourock</t>
  </si>
  <si>
    <t>SEH15</t>
  </si>
  <si>
    <t>Kynuna Plateau</t>
  </si>
  <si>
    <t>MGD05</t>
  </si>
  <si>
    <t>Lachlan</t>
  </si>
  <si>
    <t>RIV01</t>
  </si>
  <si>
    <t>Lachlan Plains</t>
  </si>
  <si>
    <t>COP05</t>
  </si>
  <si>
    <t>Lake Bennett</t>
  </si>
  <si>
    <t>GSD05</t>
  </si>
  <si>
    <t>Lake Lewis</t>
  </si>
  <si>
    <t>GSD06</t>
  </si>
  <si>
    <t>Lake Pure</t>
  </si>
  <si>
    <t>CHC07</t>
  </si>
  <si>
    <t>Langlo Plains</t>
  </si>
  <si>
    <t>MUL06</t>
  </si>
  <si>
    <t>Lateritic Plain</t>
  </si>
  <si>
    <t>GID01</t>
  </si>
  <si>
    <t>Laura Lowlands</t>
  </si>
  <si>
    <t>CYP06</t>
  </si>
  <si>
    <t>Lesueur Sandplain</t>
  </si>
  <si>
    <t>GES02</t>
  </si>
  <si>
    <t>Limmen</t>
  </si>
  <si>
    <t>GUC01</t>
  </si>
  <si>
    <t>Liverpool Plains</t>
  </si>
  <si>
    <t>BBS25</t>
  </si>
  <si>
    <t>Liverpool Range</t>
  </si>
  <si>
    <t>BBS26</t>
  </si>
  <si>
    <t>Lord Howe Island</t>
  </si>
  <si>
    <t>PSI01</t>
  </si>
  <si>
    <t>Louth Plains</t>
  </si>
  <si>
    <t>DRP05</t>
  </si>
  <si>
    <t>Lowan Mallee</t>
  </si>
  <si>
    <t>MDD04</t>
  </si>
  <si>
    <t>Lower Slopes</t>
  </si>
  <si>
    <t>NSS02</t>
  </si>
  <si>
    <t>Lucindale</t>
  </si>
  <si>
    <t>NCP03</t>
  </si>
  <si>
    <t>Macalister</t>
  </si>
  <si>
    <t>WET08</t>
  </si>
  <si>
    <t>Mackay</t>
  </si>
  <si>
    <t>GSD02</t>
  </si>
  <si>
    <t>Macleay Gorges</t>
  </si>
  <si>
    <t>NNC09</t>
  </si>
  <si>
    <t>Macleay Hastings</t>
  </si>
  <si>
    <t>NNC07</t>
  </si>
  <si>
    <t>Macquarie Island</t>
  </si>
  <si>
    <t>SAI02</t>
  </si>
  <si>
    <t>Macumba</t>
  </si>
  <si>
    <t>STP05</t>
  </si>
  <si>
    <t>Mainoru</t>
  </si>
  <si>
    <t>ARP02</t>
  </si>
  <si>
    <t>Manifold</t>
  </si>
  <si>
    <t>CMC05</t>
  </si>
  <si>
    <t>Maningrida</t>
  </si>
  <si>
    <t>ARC02</t>
  </si>
  <si>
    <t>Mann-Musgrave Block</t>
  </si>
  <si>
    <t>CER01</t>
  </si>
  <si>
    <t>Maralinga</t>
  </si>
  <si>
    <t>GVD03</t>
  </si>
  <si>
    <t>Mardabilla</t>
  </si>
  <si>
    <t>COO01</t>
  </si>
  <si>
    <t>Marlborough Plains</t>
  </si>
  <si>
    <t>BBN14</t>
  </si>
  <si>
    <t>McArthur</t>
  </si>
  <si>
    <t>GFU01</t>
  </si>
  <si>
    <t>McDonnell</t>
  </si>
  <si>
    <t>MAC01</t>
  </si>
  <si>
    <t>McLarty</t>
  </si>
  <si>
    <t>GSD01</t>
  </si>
  <si>
    <t>Menindee</t>
  </si>
  <si>
    <t>DRP07</t>
  </si>
  <si>
    <t>Merredin</t>
  </si>
  <si>
    <t>AVW01</t>
  </si>
  <si>
    <t>Mitchell</t>
  </si>
  <si>
    <t>NOK01</t>
  </si>
  <si>
    <t>Mitchell-Gilbert Fans</t>
  </si>
  <si>
    <t>GUP04</t>
  </si>
  <si>
    <t>Monaro</t>
  </si>
  <si>
    <t>SEH16</t>
  </si>
  <si>
    <t>Moonie-Barwon Interfluve</t>
  </si>
  <si>
    <t>BBS20</t>
  </si>
  <si>
    <t>Moonie-Commoron Floodout</t>
  </si>
  <si>
    <t>BBS19</t>
  </si>
  <si>
    <t>Mootwingee Downs</t>
  </si>
  <si>
    <t>BHC02</t>
  </si>
  <si>
    <t>Moredun Volcanics</t>
  </si>
  <si>
    <t>NET09</t>
  </si>
  <si>
    <t>Moreton Basin</t>
  </si>
  <si>
    <t>SEQ02</t>
  </si>
  <si>
    <t>Moss Vale</t>
  </si>
  <si>
    <t>SYB11</t>
  </si>
  <si>
    <t>Mount Chapple</t>
  </si>
  <si>
    <t>BRT03</t>
  </si>
  <si>
    <t>Mount Eliza</t>
  </si>
  <si>
    <t>CEK03</t>
  </si>
  <si>
    <t>Mount Gambier</t>
  </si>
  <si>
    <t>SVP02</t>
  </si>
  <si>
    <t>Mount Isa</t>
  </si>
  <si>
    <t>MII03</t>
  </si>
  <si>
    <t>Mount Lofty Ranges</t>
  </si>
  <si>
    <t>FLB01</t>
  </si>
  <si>
    <t>Mount Morgan Ranges</t>
  </si>
  <si>
    <t>BBS04</t>
  </si>
  <si>
    <t>Mummel Escarpment</t>
  </si>
  <si>
    <t>NNC12</t>
  </si>
  <si>
    <t>Murgenella</t>
  </si>
  <si>
    <t>ARC01</t>
  </si>
  <si>
    <t>Murnpeowie</t>
  </si>
  <si>
    <t>STP03</t>
  </si>
  <si>
    <t>Murray Fans</t>
  </si>
  <si>
    <t>RIV03</t>
  </si>
  <si>
    <t>Murray Lakes and Coorong</t>
  </si>
  <si>
    <t>MDD03</t>
  </si>
  <si>
    <t>Murray Mallee</t>
  </si>
  <si>
    <t>MDD02</t>
  </si>
  <si>
    <t>Murray Scroll Belt</t>
  </si>
  <si>
    <t>RIV06</t>
  </si>
  <si>
    <t>Murrumbateman</t>
  </si>
  <si>
    <t>SEH06</t>
  </si>
  <si>
    <t>ACT, NSW</t>
  </si>
  <si>
    <t>Murrumbidgee</t>
  </si>
  <si>
    <t>RIV02</t>
  </si>
  <si>
    <t>Myall Plains</t>
  </si>
  <si>
    <t>GAW01</t>
  </si>
  <si>
    <t>Nandewar Northern Complex</t>
  </si>
  <si>
    <t>NAN01</t>
  </si>
  <si>
    <t>Narrandool</t>
  </si>
  <si>
    <t>BBS28</t>
  </si>
  <si>
    <t>Nebine Plains</t>
  </si>
  <si>
    <t>MUL03</t>
  </si>
  <si>
    <t>Nebo-Connors Ranges</t>
  </si>
  <si>
    <t>BBN12</t>
  </si>
  <si>
    <t>Newcastle</t>
  </si>
  <si>
    <t>STU02</t>
  </si>
  <si>
    <t>Nhulunbuy</t>
  </si>
  <si>
    <t>ARC03</t>
  </si>
  <si>
    <t>Nicholson</t>
  </si>
  <si>
    <t>GFU02</t>
  </si>
  <si>
    <t>Nightcap</t>
  </si>
  <si>
    <t>NET18</t>
  </si>
  <si>
    <t>Noccundra Slopes</t>
  </si>
  <si>
    <t>CHC08</t>
  </si>
  <si>
    <t>Norfolk Island</t>
  </si>
  <si>
    <t>PSI02</t>
  </si>
  <si>
    <t>North Eastern Plains</t>
  </si>
  <si>
    <t>MUL04</t>
  </si>
  <si>
    <t>Northeast Forest Lands</t>
  </si>
  <si>
    <t>NET11</t>
  </si>
  <si>
    <t>Northern Basalts</t>
  </si>
  <si>
    <t>BBS21</t>
  </si>
  <si>
    <t>Northern Bowen Basin</t>
  </si>
  <si>
    <t>BBN06</t>
  </si>
  <si>
    <t>Northern Downs</t>
  </si>
  <si>
    <t>MGD06</t>
  </si>
  <si>
    <t>Northern Flinders</t>
  </si>
  <si>
    <t>FLB05</t>
  </si>
  <si>
    <t>Northern Holroyd Plain</t>
  </si>
  <si>
    <t>CYP08</t>
  </si>
  <si>
    <t>Northern Jarrah Forest</t>
  </si>
  <si>
    <t>JAF01</t>
  </si>
  <si>
    <t>Northern Midlands</t>
  </si>
  <si>
    <t>TNM01</t>
  </si>
  <si>
    <t>Northern Outwash</t>
  </si>
  <si>
    <t>BBS22</t>
  </si>
  <si>
    <t>Northern Slopes</t>
  </si>
  <si>
    <t>TNS01</t>
  </si>
  <si>
    <t>Northern Uplands</t>
  </si>
  <si>
    <t>MUL09</t>
  </si>
  <si>
    <t>Nullarbor Plain</t>
  </si>
  <si>
    <t>NUL02</t>
  </si>
  <si>
    <t>Nymagee</t>
  </si>
  <si>
    <t>COP04</t>
  </si>
  <si>
    <t>Oberon</t>
  </si>
  <si>
    <t>SEH10</t>
  </si>
  <si>
    <t>Olary Spur</t>
  </si>
  <si>
    <t>FLB03</t>
  </si>
  <si>
    <t>Oodnadatta</t>
  </si>
  <si>
    <t>STP02</t>
  </si>
  <si>
    <t>Orange</t>
  </si>
  <si>
    <t>SEH12</t>
  </si>
  <si>
    <t>Otway Plain</t>
  </si>
  <si>
    <t>SCP02</t>
  </si>
  <si>
    <t>Otway Ranges</t>
  </si>
  <si>
    <t>SEH03</t>
  </si>
  <si>
    <t>Paluma-Seaview</t>
  </si>
  <si>
    <t>WET05</t>
  </si>
  <si>
    <t>Paroo-Darling Sands</t>
  </si>
  <si>
    <t>MUL16</t>
  </si>
  <si>
    <t>Paroo Overflow</t>
  </si>
  <si>
    <t>MUL15</t>
  </si>
  <si>
    <t>Parson</t>
  </si>
  <si>
    <t>CEA02</t>
  </si>
  <si>
    <t>Peake-Dennison Inlier</t>
  </si>
  <si>
    <t>STP04</t>
  </si>
  <si>
    <t>Pedirka</t>
  </si>
  <si>
    <t>FIN04</t>
  </si>
  <si>
    <t>Peel</t>
  </si>
  <si>
    <t>NAN04</t>
  </si>
  <si>
    <t>Pellews</t>
  </si>
  <si>
    <t>GUC02</t>
  </si>
  <si>
    <t>Pentecost</t>
  </si>
  <si>
    <t>CEK01</t>
  </si>
  <si>
    <t>Perth</t>
  </si>
  <si>
    <t>SWA02</t>
  </si>
  <si>
    <t>Pilliga</t>
  </si>
  <si>
    <t>BBS24</t>
  </si>
  <si>
    <t>Pilliga Outwash</t>
  </si>
  <si>
    <t>BBS23</t>
  </si>
  <si>
    <t>Pindanland</t>
  </si>
  <si>
    <t>DAL02</t>
  </si>
  <si>
    <t>PCK01</t>
  </si>
  <si>
    <t>Pittwater</t>
  </si>
  <si>
    <t>SYB07</t>
  </si>
  <si>
    <t>Pooncarie-Darling</t>
  </si>
  <si>
    <t>DRP09</t>
  </si>
  <si>
    <t>Prairie-Torrens Creeks Alluvials</t>
  </si>
  <si>
    <t>DEU01</t>
  </si>
  <si>
    <t>Proserpine-Sarina Lowlands</t>
  </si>
  <si>
    <t>CMC02</t>
  </si>
  <si>
    <t>Purnululu</t>
  </si>
  <si>
    <t>OVP01</t>
  </si>
  <si>
    <t>Recherche</t>
  </si>
  <si>
    <t>ESP02</t>
  </si>
  <si>
    <t>Renehan</t>
  </si>
  <si>
    <t>STU01</t>
  </si>
  <si>
    <t>Robinvale Plains</t>
  </si>
  <si>
    <t>RIV05</t>
  </si>
  <si>
    <t>Rocky River Gorge</t>
  </si>
  <si>
    <t>NNC18</t>
  </si>
  <si>
    <t>Roebourne</t>
  </si>
  <si>
    <t>PIL04</t>
  </si>
  <si>
    <t>Round Mountain</t>
  </si>
  <si>
    <t>NET19</t>
  </si>
  <si>
    <t>Roxby</t>
  </si>
  <si>
    <t>GAW07</t>
  </si>
  <si>
    <t>Rudall</t>
  </si>
  <si>
    <t>LSD01</t>
  </si>
  <si>
    <t>Sandover</t>
  </si>
  <si>
    <t>TAN03</t>
  </si>
  <si>
    <t>Scenic Rim</t>
  </si>
  <si>
    <t>SEQ10</t>
  </si>
  <si>
    <t>Scopes Range</t>
  </si>
  <si>
    <t>BHC03</t>
  </si>
  <si>
    <t>Severn River Volcanics</t>
  </si>
  <si>
    <t>NET10</t>
  </si>
  <si>
    <t>Shield</t>
  </si>
  <si>
    <t>GVD01</t>
  </si>
  <si>
    <t>Simpson Desert</t>
  </si>
  <si>
    <t>SSD02</t>
  </si>
  <si>
    <t>NT, QLD, SA</t>
  </si>
  <si>
    <t>Snowy Mountains</t>
  </si>
  <si>
    <t>AUA01</t>
  </si>
  <si>
    <t>South Burnett</t>
  </si>
  <si>
    <t>SEQ06</t>
  </si>
  <si>
    <t>South Drummond Basin</t>
  </si>
  <si>
    <t>BBN13</t>
  </si>
  <si>
    <t>South East</t>
  </si>
  <si>
    <t>TSE01</t>
  </si>
  <si>
    <t>South East Coastal Ranges</t>
  </si>
  <si>
    <t>SEC02</t>
  </si>
  <si>
    <t>South Kimberley Interzone</t>
  </si>
  <si>
    <t>OVP02</t>
  </si>
  <si>
    <t>South Olary Plain</t>
  </si>
  <si>
    <t>MDD01</t>
  </si>
  <si>
    <t>Southern Cross</t>
  </si>
  <si>
    <t>COO02</t>
  </si>
  <si>
    <t>Southern Downs</t>
  </si>
  <si>
    <t>BBS12</t>
  </si>
  <si>
    <t>Southern Flinders</t>
  </si>
  <si>
    <t>FLB04</t>
  </si>
  <si>
    <t>Southern Great Barrier Reef</t>
  </si>
  <si>
    <t>SEQ14</t>
  </si>
  <si>
    <t>Southern Jarrah Forest</t>
  </si>
  <si>
    <t>JAF02</t>
  </si>
  <si>
    <t>Southern Ranges</t>
  </si>
  <si>
    <t>TSR01</t>
  </si>
  <si>
    <t>Southern Wooded Downs</t>
  </si>
  <si>
    <t>MGD08</t>
  </si>
  <si>
    <t>Southern Yorke</t>
  </si>
  <si>
    <t>EYB01</t>
  </si>
  <si>
    <t>Southwestern Downs</t>
  </si>
  <si>
    <t>MGD04</t>
  </si>
  <si>
    <t>Southwestern Plateaus and Floodouts</t>
  </si>
  <si>
    <t>MII01</t>
  </si>
  <si>
    <t>St Vincent</t>
  </si>
  <si>
    <t>EYB02</t>
  </si>
  <si>
    <t>Stanthorpe Plateau</t>
  </si>
  <si>
    <t>NET15</t>
  </si>
  <si>
    <t>Starke Coastal Lowlands</t>
  </si>
  <si>
    <t>CYP02</t>
  </si>
  <si>
    <t>Strzelecki Desert</t>
  </si>
  <si>
    <t>SSD05</t>
  </si>
  <si>
    <t>Strzelecki Ranges</t>
  </si>
  <si>
    <t>SEH04</t>
  </si>
  <si>
    <t>Sturt Stony Desert</t>
  </si>
  <si>
    <t>CHC02</t>
  </si>
  <si>
    <t>Sunshine Coast-Gold Coast Lowlands</t>
  </si>
  <si>
    <t>SEQ04</t>
  </si>
  <si>
    <t>Sydney Cataract</t>
  </si>
  <si>
    <t>SYB10</t>
  </si>
  <si>
    <t>Sylvester</t>
  </si>
  <si>
    <t>MGD01</t>
  </si>
  <si>
    <t>Talbragar Valley</t>
  </si>
  <si>
    <t>BBS27</t>
  </si>
  <si>
    <t>Talia</t>
  </si>
  <si>
    <t>EYB04</t>
  </si>
  <si>
    <t>Tallaringa</t>
  </si>
  <si>
    <t>GVD05</t>
  </si>
  <si>
    <t>Tallering</t>
  </si>
  <si>
    <t>YAL02</t>
  </si>
  <si>
    <t>Tanami Desert</t>
  </si>
  <si>
    <t>TAN01</t>
  </si>
  <si>
    <t>Tara Downs</t>
  </si>
  <si>
    <t>BBS16</t>
  </si>
  <si>
    <t>Taroom Downs</t>
  </si>
  <si>
    <t>BBS11</t>
  </si>
  <si>
    <t>Tenterfield Plateau</t>
  </si>
  <si>
    <t>NET12</t>
  </si>
  <si>
    <t>Thorntonia</t>
  </si>
  <si>
    <t>MII02</t>
  </si>
  <si>
    <t>Tieyon</t>
  </si>
  <si>
    <t>FIN03</t>
  </si>
  <si>
    <t>Timor Sea Coral Islands</t>
  </si>
  <si>
    <t>ITI03</t>
  </si>
  <si>
    <t>Tingha Plateau</t>
  </si>
  <si>
    <t>NET17</t>
  </si>
  <si>
    <t>Tintinara</t>
  </si>
  <si>
    <t>NCP04</t>
  </si>
  <si>
    <t>Tiwi</t>
  </si>
  <si>
    <t>TIW01</t>
  </si>
  <si>
    <t>Toko Plains</t>
  </si>
  <si>
    <t>CHC01</t>
  </si>
  <si>
    <t>Tomalla</t>
  </si>
  <si>
    <t>NNC14</t>
  </si>
  <si>
    <t>Torrens</t>
  </si>
  <si>
    <t>GAW06</t>
  </si>
  <si>
    <t>Townsville Plains</t>
  </si>
  <si>
    <t>BBN01</t>
  </si>
  <si>
    <t>Trainor</t>
  </si>
  <si>
    <t>LSD02</t>
  </si>
  <si>
    <t>Tully</t>
  </si>
  <si>
    <t>WET02</t>
  </si>
  <si>
    <t>Undara-Toomba Basalts</t>
  </si>
  <si>
    <t>EIU05</t>
  </si>
  <si>
    <t>Upper Belyando Floodout</t>
  </si>
  <si>
    <t>BBN08</t>
  </si>
  <si>
    <t>Upper Hunter</t>
  </si>
  <si>
    <t>NNC16</t>
  </si>
  <si>
    <t>Upper Manning</t>
  </si>
  <si>
    <t>NNC10</t>
  </si>
  <si>
    <t>Urisino Sandplains</t>
  </si>
  <si>
    <t>MUL11</t>
  </si>
  <si>
    <t>Victorian Alps</t>
  </si>
  <si>
    <t>AUA02</t>
  </si>
  <si>
    <t>Victorian Riverina</t>
  </si>
  <si>
    <t>RIV04</t>
  </si>
  <si>
    <t>Victorian Volcanic Plain</t>
  </si>
  <si>
    <t>SVP01</t>
  </si>
  <si>
    <t>Walcha Plateau</t>
  </si>
  <si>
    <t>NET03</t>
  </si>
  <si>
    <t>Warrambool-Moonie</t>
  </si>
  <si>
    <t>DRP02</t>
  </si>
  <si>
    <t>Warrego Plains</t>
  </si>
  <si>
    <t>MUL05</t>
  </si>
  <si>
    <t>Warrego Sands</t>
  </si>
  <si>
    <t>MUL12</t>
  </si>
  <si>
    <t>WAR01</t>
  </si>
  <si>
    <t>Warriner</t>
  </si>
  <si>
    <t>SSD04</t>
  </si>
  <si>
    <t>Warrnambool Plain</t>
  </si>
  <si>
    <t>SCP03</t>
  </si>
  <si>
    <t>Washpool</t>
  </si>
  <si>
    <t>NNC01</t>
  </si>
  <si>
    <t>Watarrka</t>
  </si>
  <si>
    <t>MAC02</t>
  </si>
  <si>
    <t>Watarru</t>
  </si>
  <si>
    <t>CER02</t>
  </si>
  <si>
    <t>Weipa Plateau</t>
  </si>
  <si>
    <t>CYP07</t>
  </si>
  <si>
    <t>Wellesley Islands</t>
  </si>
  <si>
    <t>GUP10</t>
  </si>
  <si>
    <t>Weribone High</t>
  </si>
  <si>
    <t>BBS15</t>
  </si>
  <si>
    <t>Wessels</t>
  </si>
  <si>
    <t>ARC05</t>
  </si>
  <si>
    <t>West</t>
  </si>
  <si>
    <t>TWE01</t>
  </si>
  <si>
    <t>West Balonne Plains</t>
  </si>
  <si>
    <t>MUL01</t>
  </si>
  <si>
    <t>West Bulloo</t>
  </si>
  <si>
    <t>MUL10</t>
  </si>
  <si>
    <t>West Warrego</t>
  </si>
  <si>
    <t>MUL08</t>
  </si>
  <si>
    <t>Western Mallee</t>
  </si>
  <si>
    <t>MAL02</t>
  </si>
  <si>
    <t>Western Murchison</t>
  </si>
  <si>
    <t>MUR02</t>
  </si>
  <si>
    <t>White Cliffs Plateau</t>
  </si>
  <si>
    <t>MUL14</t>
  </si>
  <si>
    <t>Whitsunday</t>
  </si>
  <si>
    <t>CMC01</t>
  </si>
  <si>
    <t>Wilcannia Plains</t>
  </si>
  <si>
    <t>DRP06</t>
  </si>
  <si>
    <t>Wilsons Promontory</t>
  </si>
  <si>
    <t>FUR01</t>
  </si>
  <si>
    <t>Wilton</t>
  </si>
  <si>
    <t>CEA01</t>
  </si>
  <si>
    <t>Wimmera</t>
  </si>
  <si>
    <t>MDD05</t>
  </si>
  <si>
    <t>Witjira</t>
  </si>
  <si>
    <t>STP06</t>
  </si>
  <si>
    <t>Wollemi</t>
  </si>
  <si>
    <t>SYB04</t>
  </si>
  <si>
    <t>Wongwibinda Plateau</t>
  </si>
  <si>
    <t>NET05</t>
  </si>
  <si>
    <t>Woodenbong</t>
  </si>
  <si>
    <t>SEQ11</t>
  </si>
  <si>
    <t>Woondoola Plains</t>
  </si>
  <si>
    <t>GUP03</t>
  </si>
  <si>
    <t>Woorabinda</t>
  </si>
  <si>
    <t>BBS02</t>
  </si>
  <si>
    <t>Wooramel</t>
  </si>
  <si>
    <t>CAR02</t>
  </si>
  <si>
    <t>Wyarra Hills</t>
  </si>
  <si>
    <t>BBN05</t>
  </si>
  <si>
    <t>Wycliffe</t>
  </si>
  <si>
    <t>TAN02</t>
  </si>
  <si>
    <t>Wyong</t>
  </si>
  <si>
    <t>SYB06</t>
  </si>
  <si>
    <t>Yalata</t>
  </si>
  <si>
    <t>NUL03</t>
  </si>
  <si>
    <t>Yarrowyck-Kentucky Downs</t>
  </si>
  <si>
    <t>NET13</t>
  </si>
  <si>
    <t>Yellabinna</t>
  </si>
  <si>
    <t>GVD06</t>
  </si>
  <si>
    <t>Yengo</t>
  </si>
  <si>
    <t>SYB05</t>
  </si>
  <si>
    <t>Yuendumu</t>
  </si>
  <si>
    <t>BRT01</t>
  </si>
  <si>
    <t>Yuraygir</t>
  </si>
  <si>
    <t>NNC05</t>
  </si>
  <si>
    <t>ACT, EXT, NSW</t>
  </si>
  <si>
    <t>Total Terrestrial Protected Areas (including overlapping areas)</t>
  </si>
  <si>
    <t>Botanic Garden (Commonwealth)</t>
  </si>
  <si>
    <t>The Average Size is the average area of each reserve that is accounted in the statistics- some reserves may have parts that overlap with other reserves that have higher priority/IUCN categories</t>
  </si>
  <si>
    <t>*This Area is based on the GIS_AREA data and excludes overlapping areas</t>
  </si>
  <si>
    <t>*This Area is based on the GIS Area data and excludes overlapping areas</t>
  </si>
  <si>
    <t>* Area is based on the GIS Area data and excludes overlapping areas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</si>
</sst>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2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808080"/>
      <name val="Arial"/>
      <family val="2"/>
    </font>
    <font>
      <sz val="8"/>
      <color rgb="FF80808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46">
    <xf numFmtId="0" fontId="0" fillId="0" borderId="0"/>
    <xf numFmtId="0" fontId="4" fillId="0" borderId="0" applyNumberFormat="0" applyFill="0" applyBorder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10" applyNumberFormat="0" applyAlignment="0" applyProtection="0"/>
    <xf numFmtId="0" fontId="12" fillId="8" borderId="11" applyNumberFormat="0" applyAlignment="0" applyProtection="0"/>
    <xf numFmtId="0" fontId="13" fillId="8" borderId="10" applyNumberFormat="0" applyAlignment="0" applyProtection="0"/>
    <xf numFmtId="0" fontId="14" fillId="0" borderId="12" applyNumberFormat="0" applyFill="0" applyAlignment="0" applyProtection="0"/>
    <xf numFmtId="0" fontId="15" fillId="9" borderId="13" applyNumberFormat="0" applyAlignment="0" applyProtection="0"/>
    <xf numFmtId="0" fontId="16" fillId="0" borderId="0" applyNumberFormat="0" applyFill="0" applyBorder="0" applyAlignment="0" applyProtection="0"/>
    <xf numFmtId="0" fontId="3" fillId="10" borderId="14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34" borderId="0" applyNumberFormat="0" applyBorder="0" applyAlignment="0" applyProtection="0"/>
    <xf numFmtId="0" fontId="22" fillId="0" borderId="0"/>
    <xf numFmtId="0" fontId="3" fillId="0" borderId="0"/>
    <xf numFmtId="0" fontId="22" fillId="0" borderId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0" fontId="3" fillId="0" borderId="0"/>
    <xf numFmtId="0" fontId="3" fillId="10" borderId="14" applyNumberFormat="0" applyFont="0" applyAlignment="0" applyProtection="0"/>
    <xf numFmtId="0" fontId="23" fillId="35" borderId="23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9" fontId="22" fillId="0" borderId="0" applyFont="0" applyFill="0" applyBorder="0" applyAlignment="0" applyProtection="0"/>
    <xf numFmtId="0" fontId="22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22" fillId="0" borderId="0" applyFont="0" applyFill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0" borderId="0"/>
    <xf numFmtId="0" fontId="3" fillId="10" borderId="14" applyNumberFormat="0" applyFont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90">
    <xf numFmtId="0" fontId="0" fillId="0" borderId="0" xfId="0"/>
    <xf numFmtId="0" fontId="2" fillId="0" borderId="3" xfId="0" applyFont="1" applyBorder="1"/>
    <xf numFmtId="4" fontId="2" fillId="0" borderId="3" xfId="0" applyNumberFormat="1" applyFont="1" applyBorder="1"/>
    <xf numFmtId="0" fontId="1" fillId="3" borderId="4" xfId="0" applyFont="1" applyFill="1" applyBorder="1"/>
    <xf numFmtId="164" fontId="1" fillId="3" borderId="4" xfId="0" applyNumberFormat="1" applyFont="1" applyFill="1" applyBorder="1"/>
    <xf numFmtId="4" fontId="1" fillId="3" borderId="4" xfId="0" applyNumberFormat="1" applyFont="1" applyFill="1" applyBorder="1"/>
    <xf numFmtId="0" fontId="1" fillId="3" borderId="3" xfId="0" applyFont="1" applyFill="1" applyBorder="1"/>
    <xf numFmtId="164" fontId="1" fillId="3" borderId="3" xfId="0" applyNumberFormat="1" applyFont="1" applyFill="1" applyBorder="1"/>
    <xf numFmtId="0" fontId="1" fillId="0" borderId="3" xfId="0" applyFont="1" applyBorder="1"/>
    <xf numFmtId="164" fontId="1" fillId="0" borderId="3" xfId="0" applyNumberFormat="1" applyFont="1" applyBorder="1"/>
    <xf numFmtId="4" fontId="1" fillId="0" borderId="3" xfId="0" applyNumberFormat="1" applyFont="1" applyBorder="1"/>
    <xf numFmtId="0" fontId="1" fillId="3" borderId="5" xfId="0" applyFont="1" applyFill="1" applyBorder="1" applyAlignment="1">
      <alignment wrapText="1"/>
    </xf>
    <xf numFmtId="164" fontId="2" fillId="0" borderId="3" xfId="0" applyNumberFormat="1" applyFont="1" applyBorder="1"/>
    <xf numFmtId="0" fontId="2" fillId="0" borderId="0" xfId="0" applyFont="1"/>
    <xf numFmtId="4" fontId="2" fillId="3" borderId="3" xfId="0" applyNumberFormat="1" applyFont="1" applyFill="1" applyBorder="1"/>
    <xf numFmtId="3" fontId="2" fillId="0" borderId="3" xfId="0" applyNumberFormat="1" applyFont="1" applyBorder="1"/>
    <xf numFmtId="3" fontId="1" fillId="3" borderId="4" xfId="0" applyNumberFormat="1" applyFont="1" applyFill="1" applyBorder="1"/>
    <xf numFmtId="164" fontId="1" fillId="0" borderId="0" xfId="0" applyNumberFormat="1" applyFont="1" applyFill="1" applyBorder="1"/>
    <xf numFmtId="3" fontId="2" fillId="3" borderId="3" xfId="0" applyNumberFormat="1" applyFont="1" applyFill="1" applyBorder="1"/>
    <xf numFmtId="164" fontId="2" fillId="0" borderId="16" xfId="0" applyNumberFormat="1" applyFont="1" applyBorder="1"/>
    <xf numFmtId="0" fontId="1" fillId="3" borderId="3" xfId="0" applyFont="1" applyFill="1" applyBorder="1" applyAlignment="1">
      <alignment horizontal="center" wrapText="1"/>
    </xf>
    <xf numFmtId="0" fontId="20" fillId="0" borderId="0" xfId="0" applyFont="1" applyAlignment="1"/>
    <xf numFmtId="4" fontId="2" fillId="0" borderId="0" xfId="0" applyNumberFormat="1" applyFont="1"/>
    <xf numFmtId="0" fontId="2" fillId="0" borderId="6" xfId="0" applyFont="1" applyBorder="1"/>
    <xf numFmtId="0" fontId="2" fillId="0" borderId="2" xfId="0" applyFont="1" applyBorder="1"/>
    <xf numFmtId="0" fontId="2" fillId="0" borderId="0" xfId="0" applyNumberFormat="1" applyFont="1"/>
    <xf numFmtId="0" fontId="1" fillId="3" borderId="17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18" xfId="0" applyFont="1" applyFill="1" applyBorder="1" applyAlignment="1">
      <alignment horizontal="center" wrapText="1"/>
    </xf>
    <xf numFmtId="0" fontId="2" fillId="0" borderId="19" xfId="0" applyFont="1" applyBorder="1"/>
    <xf numFmtId="4" fontId="2" fillId="0" borderId="20" xfId="0" applyNumberFormat="1" applyFont="1" applyBorder="1"/>
    <xf numFmtId="0" fontId="1" fillId="3" borderId="21" xfId="0" applyFont="1" applyFill="1" applyBorder="1"/>
    <xf numFmtId="4" fontId="1" fillId="3" borderId="22" xfId="0" applyNumberFormat="1" applyFont="1" applyFill="1" applyBorder="1"/>
    <xf numFmtId="0" fontId="2" fillId="0" borderId="17" xfId="0" applyFont="1" applyBorder="1"/>
    <xf numFmtId="0" fontId="2" fillId="0" borderId="5" xfId="0" applyFont="1" applyBorder="1"/>
    <xf numFmtId="0" fontId="2" fillId="0" borderId="18" xfId="0" applyFont="1" applyBorder="1"/>
    <xf numFmtId="0" fontId="2" fillId="0" borderId="20" xfId="0" applyFont="1" applyBorder="1"/>
    <xf numFmtId="0" fontId="1" fillId="3" borderId="19" xfId="0" applyFont="1" applyFill="1" applyBorder="1"/>
    <xf numFmtId="4" fontId="1" fillId="3" borderId="20" xfId="0" applyNumberFormat="1" applyFont="1" applyFill="1" applyBorder="1"/>
    <xf numFmtId="0" fontId="1" fillId="0" borderId="19" xfId="0" applyFont="1" applyBorder="1"/>
    <xf numFmtId="0" fontId="1" fillId="0" borderId="20" xfId="0" applyFont="1" applyBorder="1"/>
    <xf numFmtId="0" fontId="1" fillId="0" borderId="19" xfId="0" applyFont="1" applyBorder="1" applyAlignment="1">
      <alignment wrapText="1"/>
    </xf>
    <xf numFmtId="0" fontId="1" fillId="3" borderId="17" xfId="0" applyFont="1" applyFill="1" applyBorder="1" applyAlignment="1">
      <alignment wrapText="1"/>
    </xf>
    <xf numFmtId="0" fontId="1" fillId="3" borderId="18" xfId="0" applyFont="1" applyFill="1" applyBorder="1" applyAlignment="1">
      <alignment wrapText="1"/>
    </xf>
    <xf numFmtId="0" fontId="1" fillId="3" borderId="22" xfId="0" applyFont="1" applyFill="1" applyBorder="1"/>
    <xf numFmtId="2" fontId="1" fillId="3" borderId="4" xfId="0" applyNumberFormat="1" applyFont="1" applyFill="1" applyBorder="1"/>
    <xf numFmtId="3" fontId="2" fillId="0" borderId="3" xfId="43" applyNumberFormat="1" applyFont="1" applyBorder="1"/>
    <xf numFmtId="0" fontId="24" fillId="0" borderId="0" xfId="0" applyFont="1"/>
    <xf numFmtId="0" fontId="21" fillId="0" borderId="0" xfId="0" applyFont="1" applyAlignment="1"/>
    <xf numFmtId="0" fontId="2" fillId="0" borderId="0" xfId="0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0" fontId="1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4" xfId="0" applyFont="1" applyBorder="1"/>
    <xf numFmtId="164" fontId="2" fillId="0" borderId="3" xfId="0" applyNumberFormat="1" applyFont="1" applyBorder="1"/>
    <xf numFmtId="0" fontId="1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3" fontId="2" fillId="0" borderId="3" xfId="0" applyNumberFormat="1" applyFont="1" applyBorder="1"/>
    <xf numFmtId="3" fontId="2" fillId="0" borderId="3" xfId="0" applyNumberFormat="1" applyFont="1" applyBorder="1"/>
    <xf numFmtId="164" fontId="2" fillId="0" borderId="3" xfId="0" applyNumberFormat="1" applyFont="1" applyFill="1" applyBorder="1"/>
    <xf numFmtId="4" fontId="2" fillId="0" borderId="20" xfId="0" applyNumberFormat="1" applyFont="1" applyFill="1" applyBorder="1"/>
    <xf numFmtId="164" fontId="2" fillId="0" borderId="3" xfId="0" applyNumberFormat="1" applyFont="1" applyFill="1" applyBorder="1"/>
    <xf numFmtId="164" fontId="2" fillId="0" borderId="3" xfId="0" applyNumberFormat="1" applyFont="1" applyFill="1" applyBorder="1"/>
    <xf numFmtId="4" fontId="2" fillId="0" borderId="3" xfId="0" applyNumberFormat="1" applyFont="1" applyFill="1" applyBorder="1"/>
    <xf numFmtId="0" fontId="1" fillId="2" borderId="27" xfId="0" applyFont="1" applyFill="1" applyBorder="1" applyAlignment="1"/>
    <xf numFmtId="164" fontId="2" fillId="0" borderId="3" xfId="0" applyNumberFormat="1" applyFont="1" applyFill="1" applyBorder="1"/>
    <xf numFmtId="164" fontId="2" fillId="0" borderId="3" xfId="0" applyNumberFormat="1" applyFont="1" applyFill="1" applyBorder="1"/>
    <xf numFmtId="0" fontId="2" fillId="0" borderId="19" xfId="0" applyFont="1" applyFill="1" applyBorder="1"/>
    <xf numFmtId="3" fontId="1" fillId="3" borderId="4" xfId="0" applyNumberFormat="1" applyFont="1" applyFill="1" applyBorder="1"/>
    <xf numFmtId="3" fontId="2" fillId="0" borderId="3" xfId="0" applyNumberFormat="1" applyFont="1" applyBorder="1"/>
    <xf numFmtId="0" fontId="1" fillId="2" borderId="26" xfId="0" applyFont="1" applyFill="1" applyBorder="1" applyAlignment="1"/>
    <xf numFmtId="3" fontId="2" fillId="0" borderId="3" xfId="0" applyNumberFormat="1" applyFont="1" applyFill="1" applyBorder="1"/>
    <xf numFmtId="0" fontId="1" fillId="2" borderId="25" xfId="0" applyFont="1" applyFill="1" applyBorder="1" applyAlignment="1"/>
    <xf numFmtId="164" fontId="2" fillId="0" borderId="3" xfId="0" applyNumberFormat="1" applyFont="1" applyBorder="1"/>
    <xf numFmtId="0" fontId="2" fillId="0" borderId="3" xfId="0" applyFont="1" applyFill="1" applyBorder="1"/>
    <xf numFmtId="3" fontId="2" fillId="0" borderId="3" xfId="0" applyNumberFormat="1" applyFont="1" applyBorder="1"/>
    <xf numFmtId="164" fontId="2" fillId="0" borderId="28" xfId="0" applyNumberFormat="1" applyFont="1" applyBorder="1"/>
    <xf numFmtId="164" fontId="2" fillId="0" borderId="29" xfId="0" applyNumberFormat="1" applyFont="1" applyBorder="1"/>
    <xf numFmtId="164" fontId="2" fillId="0" borderId="30" xfId="0" applyNumberFormat="1" applyFont="1" applyBorder="1"/>
    <xf numFmtId="0" fontId="2" fillId="0" borderId="0" xfId="0" applyFont="1"/>
    <xf numFmtId="0" fontId="1" fillId="3" borderId="5" xfId="0" applyFont="1" applyFill="1" applyBorder="1" applyAlignment="1">
      <alignment horizontal="center" wrapText="1"/>
    </xf>
    <xf numFmtId="0" fontId="21" fillId="0" borderId="0" xfId="0" applyFont="1" applyAlignment="1"/>
    <xf numFmtId="164" fontId="2" fillId="0" borderId="3" xfId="0" applyNumberFormat="1" applyFont="1" applyBorder="1"/>
    <xf numFmtId="0" fontId="1" fillId="2" borderId="1" xfId="0" applyFont="1" applyFill="1" applyBorder="1" applyAlignment="1">
      <alignment horizontal="center"/>
    </xf>
    <xf numFmtId="0" fontId="2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wrapText="1"/>
    </xf>
  </cellXfs>
  <cellStyles count="2346">
    <cellStyle name="20% - Accent1" xfId="19" builtinId="30" customBuiltin="1"/>
    <cellStyle name="20% - Accent1 10" xfId="308"/>
    <cellStyle name="20% - Accent1 10 2" xfId="1354"/>
    <cellStyle name="20% - Accent1 10 3" xfId="1675"/>
    <cellStyle name="20% - Accent1 11" xfId="108"/>
    <cellStyle name="20% - Accent1 11 2" xfId="1367"/>
    <cellStyle name="20% - Accent1 11 3" xfId="1477"/>
    <cellStyle name="20% - Accent1 12" xfId="941"/>
    <cellStyle name="20% - Accent1 12 2" xfId="1380"/>
    <cellStyle name="20% - Accent1 12 3" xfId="2297"/>
    <cellStyle name="20% - Accent1 13" xfId="955"/>
    <cellStyle name="20% - Accent1 13 2" xfId="1394"/>
    <cellStyle name="20% - Accent1 13 3" xfId="2311"/>
    <cellStyle name="20% - Accent1 14" xfId="969"/>
    <cellStyle name="20% - Accent1 14 2" xfId="2325"/>
    <cellStyle name="20% - Accent1 15" xfId="985"/>
    <cellStyle name="20% - Accent1 16" xfId="998"/>
    <cellStyle name="20% - Accent1 17" xfId="1407"/>
    <cellStyle name="20% - Accent1 2" xfId="49"/>
    <cellStyle name="20% - Accent1 2 2" xfId="254"/>
    <cellStyle name="20% - Accent1 2 2 2" xfId="517"/>
    <cellStyle name="20% - Accent1 2 2 2 2" xfId="899"/>
    <cellStyle name="20% - Accent1 2 2 2 2 2" xfId="2255"/>
    <cellStyle name="20% - Accent1 2 2 2 3" xfId="1284"/>
    <cellStyle name="20% - Accent1 2 2 2 4" xfId="1875"/>
    <cellStyle name="20% - Accent1 2 2 3" xfId="629"/>
    <cellStyle name="20% - Accent1 2 2 3 2" xfId="1987"/>
    <cellStyle name="20% - Accent1 2 2 4" xfId="771"/>
    <cellStyle name="20% - Accent1 2 2 4 2" xfId="2129"/>
    <cellStyle name="20% - Accent1 2 2 5" xfId="382"/>
    <cellStyle name="20% - Accent1 2 2 5 2" xfId="1749"/>
    <cellStyle name="20% - Accent1 2 2 6" xfId="1140"/>
    <cellStyle name="20% - Accent1 2 2 7" xfId="1621"/>
    <cellStyle name="20% - Accent1 2 3" xfId="194"/>
    <cellStyle name="20% - Accent1 2 3 2" xfId="842"/>
    <cellStyle name="20% - Accent1 2 3 2 2" xfId="2199"/>
    <cellStyle name="20% - Accent1 2 3 3" xfId="454"/>
    <cellStyle name="20% - Accent1 2 3 3 2" xfId="1819"/>
    <cellStyle name="20% - Accent1 2 3 4" xfId="1084"/>
    <cellStyle name="20% - Accent1 2 3 5" xfId="1563"/>
    <cellStyle name="20% - Accent1 2 4" xfId="573"/>
    <cellStyle name="20% - Accent1 2 4 2" xfId="1213"/>
    <cellStyle name="20% - Accent1 2 4 3" xfId="1931"/>
    <cellStyle name="20% - Accent1 2 5" xfId="713"/>
    <cellStyle name="20% - Accent1 2 5 2" xfId="2071"/>
    <cellStyle name="20% - Accent1 2 6" xfId="324"/>
    <cellStyle name="20% - Accent1 2 6 2" xfId="1691"/>
    <cellStyle name="20% - Accent1 2 7" xfId="124"/>
    <cellStyle name="20% - Accent1 2 7 2" xfId="1493"/>
    <cellStyle name="20% - Accent1 2 8" xfId="1014"/>
    <cellStyle name="20% - Accent1 2 9" xfId="1423"/>
    <cellStyle name="20% - Accent1 3" xfId="67"/>
    <cellStyle name="20% - Accent1 3 2" xfId="268"/>
    <cellStyle name="20% - Accent1 3 2 2" xfId="531"/>
    <cellStyle name="20% - Accent1 3 2 2 2" xfId="913"/>
    <cellStyle name="20% - Accent1 3 2 2 2 2" xfId="2269"/>
    <cellStyle name="20% - Accent1 3 2 2 3" xfId="1298"/>
    <cellStyle name="20% - Accent1 3 2 2 4" xfId="1889"/>
    <cellStyle name="20% - Accent1 3 2 3" xfId="643"/>
    <cellStyle name="20% - Accent1 3 2 3 2" xfId="2001"/>
    <cellStyle name="20% - Accent1 3 2 4" xfId="785"/>
    <cellStyle name="20% - Accent1 3 2 4 2" xfId="2143"/>
    <cellStyle name="20% - Accent1 3 2 5" xfId="396"/>
    <cellStyle name="20% - Accent1 3 2 5 2" xfId="1763"/>
    <cellStyle name="20% - Accent1 3 2 6" xfId="1154"/>
    <cellStyle name="20% - Accent1 3 2 7" xfId="1635"/>
    <cellStyle name="20% - Accent1 3 3" xfId="208"/>
    <cellStyle name="20% - Accent1 3 3 2" xfId="856"/>
    <cellStyle name="20% - Accent1 3 3 2 2" xfId="2213"/>
    <cellStyle name="20% - Accent1 3 3 3" xfId="468"/>
    <cellStyle name="20% - Accent1 3 3 3 2" xfId="1833"/>
    <cellStyle name="20% - Accent1 3 3 4" xfId="1098"/>
    <cellStyle name="20% - Accent1 3 3 5" xfId="1577"/>
    <cellStyle name="20% - Accent1 3 4" xfId="587"/>
    <cellStyle name="20% - Accent1 3 4 2" xfId="1227"/>
    <cellStyle name="20% - Accent1 3 4 3" xfId="1945"/>
    <cellStyle name="20% - Accent1 3 5" xfId="727"/>
    <cellStyle name="20% - Accent1 3 5 2" xfId="2085"/>
    <cellStyle name="20% - Accent1 3 6" xfId="338"/>
    <cellStyle name="20% - Accent1 3 6 2" xfId="1705"/>
    <cellStyle name="20% - Accent1 3 7" xfId="138"/>
    <cellStyle name="20% - Accent1 3 7 2" xfId="1507"/>
    <cellStyle name="20% - Accent1 3 8" xfId="1028"/>
    <cellStyle name="20% - Accent1 3 9" xfId="1437"/>
    <cellStyle name="20% - Accent1 4" xfId="81"/>
    <cellStyle name="20% - Accent1 4 2" xfId="281"/>
    <cellStyle name="20% - Accent1 4 2 2" xfId="545"/>
    <cellStyle name="20% - Accent1 4 2 2 2" xfId="927"/>
    <cellStyle name="20% - Accent1 4 2 2 2 2" xfId="2283"/>
    <cellStyle name="20% - Accent1 4 2 2 3" xfId="1312"/>
    <cellStyle name="20% - Accent1 4 2 2 4" xfId="1903"/>
    <cellStyle name="20% - Accent1 4 2 3" xfId="657"/>
    <cellStyle name="20% - Accent1 4 2 3 2" xfId="2015"/>
    <cellStyle name="20% - Accent1 4 2 4" xfId="798"/>
    <cellStyle name="20% - Accent1 4 2 4 2" xfId="2156"/>
    <cellStyle name="20% - Accent1 4 2 5" xfId="409"/>
    <cellStyle name="20% - Accent1 4 2 5 2" xfId="1776"/>
    <cellStyle name="20% - Accent1 4 2 6" xfId="1168"/>
    <cellStyle name="20% - Accent1 4 2 7" xfId="1648"/>
    <cellStyle name="20% - Accent1 4 3" xfId="222"/>
    <cellStyle name="20% - Accent1 4 3 2" xfId="870"/>
    <cellStyle name="20% - Accent1 4 3 2 2" xfId="2227"/>
    <cellStyle name="20% - Accent1 4 3 3" xfId="482"/>
    <cellStyle name="20% - Accent1 4 3 3 2" xfId="1847"/>
    <cellStyle name="20% - Accent1 4 3 4" xfId="1112"/>
    <cellStyle name="20% - Accent1 4 3 5" xfId="1591"/>
    <cellStyle name="20% - Accent1 4 4" xfId="601"/>
    <cellStyle name="20% - Accent1 4 4 2" xfId="1241"/>
    <cellStyle name="20% - Accent1 4 4 3" xfId="1959"/>
    <cellStyle name="20% - Accent1 4 5" xfId="741"/>
    <cellStyle name="20% - Accent1 4 5 2" xfId="2099"/>
    <cellStyle name="20% - Accent1 4 6" xfId="352"/>
    <cellStyle name="20% - Accent1 4 6 2" xfId="1719"/>
    <cellStyle name="20% - Accent1 4 7" xfId="152"/>
    <cellStyle name="20% - Accent1 4 7 2" xfId="1521"/>
    <cellStyle name="20% - Accent1 4 8" xfId="1042"/>
    <cellStyle name="20% - Accent1 4 9" xfId="1451"/>
    <cellStyle name="20% - Accent1 5" xfId="95"/>
    <cellStyle name="20% - Accent1 5 2" xfId="238"/>
    <cellStyle name="20% - Accent1 5 2 2" xfId="883"/>
    <cellStyle name="20% - Accent1 5 2 2 2" xfId="2239"/>
    <cellStyle name="20% - Accent1 5 2 3" xfId="498"/>
    <cellStyle name="20% - Accent1 5 2 3 2" xfId="1859"/>
    <cellStyle name="20% - Accent1 5 2 4" xfId="1124"/>
    <cellStyle name="20% - Accent1 5 2 5" xfId="1605"/>
    <cellStyle name="20% - Accent1 5 3" xfId="671"/>
    <cellStyle name="20% - Accent1 5 3 2" xfId="1255"/>
    <cellStyle name="20% - Accent1 5 3 3" xfId="2029"/>
    <cellStyle name="20% - Accent1 5 4" xfId="755"/>
    <cellStyle name="20% - Accent1 5 4 2" xfId="2113"/>
    <cellStyle name="20% - Accent1 5 5" xfId="366"/>
    <cellStyle name="20% - Accent1 5 5 2" xfId="1733"/>
    <cellStyle name="20% - Accent1 5 6" xfId="166"/>
    <cellStyle name="20% - Accent1 5 6 2" xfId="1535"/>
    <cellStyle name="20% - Accent1 5 7" xfId="1056"/>
    <cellStyle name="20% - Accent1 5 8" xfId="1465"/>
    <cellStyle name="20% - Accent1 6" xfId="178"/>
    <cellStyle name="20% - Accent1 6 2" xfId="613"/>
    <cellStyle name="20% - Accent1 6 2 2" xfId="1268"/>
    <cellStyle name="20% - Accent1 6 2 3" xfId="1971"/>
    <cellStyle name="20% - Accent1 6 3" xfId="813"/>
    <cellStyle name="20% - Accent1 6 3 2" xfId="2171"/>
    <cellStyle name="20% - Accent1 6 4" xfId="424"/>
    <cellStyle name="20% - Accent1 6 4 2" xfId="1791"/>
    <cellStyle name="20% - Accent1 6 5" xfId="1068"/>
    <cellStyle name="20% - Accent1 6 6" xfId="1547"/>
    <cellStyle name="20% - Accent1 7" xfId="296"/>
    <cellStyle name="20% - Accent1 7 2" xfId="685"/>
    <cellStyle name="20% - Accent1 7 2 2" xfId="1326"/>
    <cellStyle name="20% - Accent1 7 2 3" xfId="2043"/>
    <cellStyle name="20% - Accent1 7 3" xfId="826"/>
    <cellStyle name="20% - Accent1 7 3 2" xfId="2183"/>
    <cellStyle name="20% - Accent1 7 4" xfId="438"/>
    <cellStyle name="20% - Accent1 7 4 2" xfId="1803"/>
    <cellStyle name="20% - Accent1 7 5" xfId="1182"/>
    <cellStyle name="20% - Accent1 7 6" xfId="1663"/>
    <cellStyle name="20% - Accent1 8" xfId="557"/>
    <cellStyle name="20% - Accent1 8 2" xfId="1196"/>
    <cellStyle name="20% - Accent1 8 3" xfId="1915"/>
    <cellStyle name="20% - Accent1 9" xfId="697"/>
    <cellStyle name="20% - Accent1 9 2" xfId="1340"/>
    <cellStyle name="20% - Accent1 9 3" xfId="2055"/>
    <cellStyle name="20% - Accent2" xfId="23" builtinId="34" customBuiltin="1"/>
    <cellStyle name="20% - Accent2 10" xfId="310"/>
    <cellStyle name="20% - Accent2 10 2" xfId="1356"/>
    <cellStyle name="20% - Accent2 10 3" xfId="1677"/>
    <cellStyle name="20% - Accent2 11" xfId="110"/>
    <cellStyle name="20% - Accent2 11 2" xfId="1369"/>
    <cellStyle name="20% - Accent2 11 3" xfId="1479"/>
    <cellStyle name="20% - Accent2 12" xfId="943"/>
    <cellStyle name="20% - Accent2 12 2" xfId="1382"/>
    <cellStyle name="20% - Accent2 12 3" xfId="2299"/>
    <cellStyle name="20% - Accent2 13" xfId="957"/>
    <cellStyle name="20% - Accent2 13 2" xfId="1396"/>
    <cellStyle name="20% - Accent2 13 3" xfId="2313"/>
    <cellStyle name="20% - Accent2 14" xfId="971"/>
    <cellStyle name="20% - Accent2 14 2" xfId="2327"/>
    <cellStyle name="20% - Accent2 15" xfId="987"/>
    <cellStyle name="20% - Accent2 16" xfId="1000"/>
    <cellStyle name="20% - Accent2 17" xfId="1409"/>
    <cellStyle name="20% - Accent2 2" xfId="51"/>
    <cellStyle name="20% - Accent2 2 2" xfId="256"/>
    <cellStyle name="20% - Accent2 2 2 2" xfId="519"/>
    <cellStyle name="20% - Accent2 2 2 2 2" xfId="901"/>
    <cellStyle name="20% - Accent2 2 2 2 2 2" xfId="2257"/>
    <cellStyle name="20% - Accent2 2 2 2 3" xfId="1286"/>
    <cellStyle name="20% - Accent2 2 2 2 4" xfId="1877"/>
    <cellStyle name="20% - Accent2 2 2 3" xfId="631"/>
    <cellStyle name="20% - Accent2 2 2 3 2" xfId="1989"/>
    <cellStyle name="20% - Accent2 2 2 4" xfId="773"/>
    <cellStyle name="20% - Accent2 2 2 4 2" xfId="2131"/>
    <cellStyle name="20% - Accent2 2 2 5" xfId="384"/>
    <cellStyle name="20% - Accent2 2 2 5 2" xfId="1751"/>
    <cellStyle name="20% - Accent2 2 2 6" xfId="1142"/>
    <cellStyle name="20% - Accent2 2 2 7" xfId="1623"/>
    <cellStyle name="20% - Accent2 2 3" xfId="196"/>
    <cellStyle name="20% - Accent2 2 3 2" xfId="844"/>
    <cellStyle name="20% - Accent2 2 3 2 2" xfId="2201"/>
    <cellStyle name="20% - Accent2 2 3 3" xfId="456"/>
    <cellStyle name="20% - Accent2 2 3 3 2" xfId="1821"/>
    <cellStyle name="20% - Accent2 2 3 4" xfId="1086"/>
    <cellStyle name="20% - Accent2 2 3 5" xfId="1565"/>
    <cellStyle name="20% - Accent2 2 4" xfId="575"/>
    <cellStyle name="20% - Accent2 2 4 2" xfId="1215"/>
    <cellStyle name="20% - Accent2 2 4 3" xfId="1933"/>
    <cellStyle name="20% - Accent2 2 5" xfId="715"/>
    <cellStyle name="20% - Accent2 2 5 2" xfId="2073"/>
    <cellStyle name="20% - Accent2 2 6" xfId="326"/>
    <cellStyle name="20% - Accent2 2 6 2" xfId="1693"/>
    <cellStyle name="20% - Accent2 2 7" xfId="126"/>
    <cellStyle name="20% - Accent2 2 7 2" xfId="1495"/>
    <cellStyle name="20% - Accent2 2 8" xfId="1016"/>
    <cellStyle name="20% - Accent2 2 9" xfId="1425"/>
    <cellStyle name="20% - Accent2 3" xfId="69"/>
    <cellStyle name="20% - Accent2 3 2" xfId="270"/>
    <cellStyle name="20% - Accent2 3 2 2" xfId="533"/>
    <cellStyle name="20% - Accent2 3 2 2 2" xfId="915"/>
    <cellStyle name="20% - Accent2 3 2 2 2 2" xfId="2271"/>
    <cellStyle name="20% - Accent2 3 2 2 3" xfId="1300"/>
    <cellStyle name="20% - Accent2 3 2 2 4" xfId="1891"/>
    <cellStyle name="20% - Accent2 3 2 3" xfId="645"/>
    <cellStyle name="20% - Accent2 3 2 3 2" xfId="2003"/>
    <cellStyle name="20% - Accent2 3 2 4" xfId="787"/>
    <cellStyle name="20% - Accent2 3 2 4 2" xfId="2145"/>
    <cellStyle name="20% - Accent2 3 2 5" xfId="398"/>
    <cellStyle name="20% - Accent2 3 2 5 2" xfId="1765"/>
    <cellStyle name="20% - Accent2 3 2 6" xfId="1156"/>
    <cellStyle name="20% - Accent2 3 2 7" xfId="1637"/>
    <cellStyle name="20% - Accent2 3 3" xfId="210"/>
    <cellStyle name="20% - Accent2 3 3 2" xfId="858"/>
    <cellStyle name="20% - Accent2 3 3 2 2" xfId="2215"/>
    <cellStyle name="20% - Accent2 3 3 3" xfId="470"/>
    <cellStyle name="20% - Accent2 3 3 3 2" xfId="1835"/>
    <cellStyle name="20% - Accent2 3 3 4" xfId="1100"/>
    <cellStyle name="20% - Accent2 3 3 5" xfId="1579"/>
    <cellStyle name="20% - Accent2 3 4" xfId="589"/>
    <cellStyle name="20% - Accent2 3 4 2" xfId="1229"/>
    <cellStyle name="20% - Accent2 3 4 3" xfId="1947"/>
    <cellStyle name="20% - Accent2 3 5" xfId="729"/>
    <cellStyle name="20% - Accent2 3 5 2" xfId="2087"/>
    <cellStyle name="20% - Accent2 3 6" xfId="340"/>
    <cellStyle name="20% - Accent2 3 6 2" xfId="1707"/>
    <cellStyle name="20% - Accent2 3 7" xfId="140"/>
    <cellStyle name="20% - Accent2 3 7 2" xfId="1509"/>
    <cellStyle name="20% - Accent2 3 8" xfId="1030"/>
    <cellStyle name="20% - Accent2 3 9" xfId="1439"/>
    <cellStyle name="20% - Accent2 4" xfId="83"/>
    <cellStyle name="20% - Accent2 4 2" xfId="283"/>
    <cellStyle name="20% - Accent2 4 2 2" xfId="547"/>
    <cellStyle name="20% - Accent2 4 2 2 2" xfId="929"/>
    <cellStyle name="20% - Accent2 4 2 2 2 2" xfId="2285"/>
    <cellStyle name="20% - Accent2 4 2 2 3" xfId="1314"/>
    <cellStyle name="20% - Accent2 4 2 2 4" xfId="1905"/>
    <cellStyle name="20% - Accent2 4 2 3" xfId="659"/>
    <cellStyle name="20% - Accent2 4 2 3 2" xfId="2017"/>
    <cellStyle name="20% - Accent2 4 2 4" xfId="800"/>
    <cellStyle name="20% - Accent2 4 2 4 2" xfId="2158"/>
    <cellStyle name="20% - Accent2 4 2 5" xfId="411"/>
    <cellStyle name="20% - Accent2 4 2 5 2" xfId="1778"/>
    <cellStyle name="20% - Accent2 4 2 6" xfId="1170"/>
    <cellStyle name="20% - Accent2 4 2 7" xfId="1650"/>
    <cellStyle name="20% - Accent2 4 3" xfId="224"/>
    <cellStyle name="20% - Accent2 4 3 2" xfId="872"/>
    <cellStyle name="20% - Accent2 4 3 2 2" xfId="2229"/>
    <cellStyle name="20% - Accent2 4 3 3" xfId="484"/>
    <cellStyle name="20% - Accent2 4 3 3 2" xfId="1849"/>
    <cellStyle name="20% - Accent2 4 3 4" xfId="1114"/>
    <cellStyle name="20% - Accent2 4 3 5" xfId="1593"/>
    <cellStyle name="20% - Accent2 4 4" xfId="603"/>
    <cellStyle name="20% - Accent2 4 4 2" xfId="1243"/>
    <cellStyle name="20% - Accent2 4 4 3" xfId="1961"/>
    <cellStyle name="20% - Accent2 4 5" xfId="743"/>
    <cellStyle name="20% - Accent2 4 5 2" xfId="2101"/>
    <cellStyle name="20% - Accent2 4 6" xfId="354"/>
    <cellStyle name="20% - Accent2 4 6 2" xfId="1721"/>
    <cellStyle name="20% - Accent2 4 7" xfId="154"/>
    <cellStyle name="20% - Accent2 4 7 2" xfId="1523"/>
    <cellStyle name="20% - Accent2 4 8" xfId="1044"/>
    <cellStyle name="20% - Accent2 4 9" xfId="1453"/>
    <cellStyle name="20% - Accent2 5" xfId="97"/>
    <cellStyle name="20% - Accent2 5 2" xfId="240"/>
    <cellStyle name="20% - Accent2 5 2 2" xfId="885"/>
    <cellStyle name="20% - Accent2 5 2 2 2" xfId="2241"/>
    <cellStyle name="20% - Accent2 5 2 3" xfId="500"/>
    <cellStyle name="20% - Accent2 5 2 3 2" xfId="1861"/>
    <cellStyle name="20% - Accent2 5 2 4" xfId="1126"/>
    <cellStyle name="20% - Accent2 5 2 5" xfId="1607"/>
    <cellStyle name="20% - Accent2 5 3" xfId="673"/>
    <cellStyle name="20% - Accent2 5 3 2" xfId="1257"/>
    <cellStyle name="20% - Accent2 5 3 3" xfId="2031"/>
    <cellStyle name="20% - Accent2 5 4" xfId="757"/>
    <cellStyle name="20% - Accent2 5 4 2" xfId="2115"/>
    <cellStyle name="20% - Accent2 5 5" xfId="368"/>
    <cellStyle name="20% - Accent2 5 5 2" xfId="1735"/>
    <cellStyle name="20% - Accent2 5 6" xfId="168"/>
    <cellStyle name="20% - Accent2 5 6 2" xfId="1537"/>
    <cellStyle name="20% - Accent2 5 7" xfId="1058"/>
    <cellStyle name="20% - Accent2 5 8" xfId="1467"/>
    <cellStyle name="20% - Accent2 6" xfId="180"/>
    <cellStyle name="20% - Accent2 6 2" xfId="615"/>
    <cellStyle name="20% - Accent2 6 2 2" xfId="1270"/>
    <cellStyle name="20% - Accent2 6 2 3" xfId="1973"/>
    <cellStyle name="20% - Accent2 6 3" xfId="815"/>
    <cellStyle name="20% - Accent2 6 3 2" xfId="2173"/>
    <cellStyle name="20% - Accent2 6 4" xfId="426"/>
    <cellStyle name="20% - Accent2 6 4 2" xfId="1793"/>
    <cellStyle name="20% - Accent2 6 5" xfId="1070"/>
    <cellStyle name="20% - Accent2 6 6" xfId="1549"/>
    <cellStyle name="20% - Accent2 7" xfId="298"/>
    <cellStyle name="20% - Accent2 7 2" xfId="687"/>
    <cellStyle name="20% - Accent2 7 2 2" xfId="1328"/>
    <cellStyle name="20% - Accent2 7 2 3" xfId="2045"/>
    <cellStyle name="20% - Accent2 7 3" xfId="828"/>
    <cellStyle name="20% - Accent2 7 3 2" xfId="2185"/>
    <cellStyle name="20% - Accent2 7 4" xfId="440"/>
    <cellStyle name="20% - Accent2 7 4 2" xfId="1805"/>
    <cellStyle name="20% - Accent2 7 5" xfId="1184"/>
    <cellStyle name="20% - Accent2 7 6" xfId="1665"/>
    <cellStyle name="20% - Accent2 8" xfId="559"/>
    <cellStyle name="20% - Accent2 8 2" xfId="1198"/>
    <cellStyle name="20% - Accent2 8 3" xfId="1917"/>
    <cellStyle name="20% - Accent2 9" xfId="699"/>
    <cellStyle name="20% - Accent2 9 2" xfId="1342"/>
    <cellStyle name="20% - Accent2 9 3" xfId="2057"/>
    <cellStyle name="20% - Accent3" xfId="27" builtinId="38" customBuiltin="1"/>
    <cellStyle name="20% - Accent3 10" xfId="312"/>
    <cellStyle name="20% - Accent3 10 2" xfId="1358"/>
    <cellStyle name="20% - Accent3 10 3" xfId="1679"/>
    <cellStyle name="20% - Accent3 11" xfId="112"/>
    <cellStyle name="20% - Accent3 11 2" xfId="1371"/>
    <cellStyle name="20% - Accent3 11 3" xfId="1481"/>
    <cellStyle name="20% - Accent3 12" xfId="945"/>
    <cellStyle name="20% - Accent3 12 2" xfId="1384"/>
    <cellStyle name="20% - Accent3 12 3" xfId="2301"/>
    <cellStyle name="20% - Accent3 13" xfId="959"/>
    <cellStyle name="20% - Accent3 13 2" xfId="1398"/>
    <cellStyle name="20% - Accent3 13 3" xfId="2315"/>
    <cellStyle name="20% - Accent3 14" xfId="973"/>
    <cellStyle name="20% - Accent3 14 2" xfId="2329"/>
    <cellStyle name="20% - Accent3 15" xfId="989"/>
    <cellStyle name="20% - Accent3 16" xfId="1002"/>
    <cellStyle name="20% - Accent3 17" xfId="1411"/>
    <cellStyle name="20% - Accent3 2" xfId="53"/>
    <cellStyle name="20% - Accent3 2 2" xfId="258"/>
    <cellStyle name="20% - Accent3 2 2 2" xfId="521"/>
    <cellStyle name="20% - Accent3 2 2 2 2" xfId="903"/>
    <cellStyle name="20% - Accent3 2 2 2 2 2" xfId="2259"/>
    <cellStyle name="20% - Accent3 2 2 2 3" xfId="1288"/>
    <cellStyle name="20% - Accent3 2 2 2 4" xfId="1879"/>
    <cellStyle name="20% - Accent3 2 2 3" xfId="633"/>
    <cellStyle name="20% - Accent3 2 2 3 2" xfId="1991"/>
    <cellStyle name="20% - Accent3 2 2 4" xfId="775"/>
    <cellStyle name="20% - Accent3 2 2 4 2" xfId="2133"/>
    <cellStyle name="20% - Accent3 2 2 5" xfId="386"/>
    <cellStyle name="20% - Accent3 2 2 5 2" xfId="1753"/>
    <cellStyle name="20% - Accent3 2 2 6" xfId="1144"/>
    <cellStyle name="20% - Accent3 2 2 7" xfId="1625"/>
    <cellStyle name="20% - Accent3 2 3" xfId="198"/>
    <cellStyle name="20% - Accent3 2 3 2" xfId="846"/>
    <cellStyle name="20% - Accent3 2 3 2 2" xfId="2203"/>
    <cellStyle name="20% - Accent3 2 3 3" xfId="458"/>
    <cellStyle name="20% - Accent3 2 3 3 2" xfId="1823"/>
    <cellStyle name="20% - Accent3 2 3 4" xfId="1088"/>
    <cellStyle name="20% - Accent3 2 3 5" xfId="1567"/>
    <cellStyle name="20% - Accent3 2 4" xfId="577"/>
    <cellStyle name="20% - Accent3 2 4 2" xfId="1217"/>
    <cellStyle name="20% - Accent3 2 4 3" xfId="1935"/>
    <cellStyle name="20% - Accent3 2 5" xfId="717"/>
    <cellStyle name="20% - Accent3 2 5 2" xfId="2075"/>
    <cellStyle name="20% - Accent3 2 6" xfId="328"/>
    <cellStyle name="20% - Accent3 2 6 2" xfId="1695"/>
    <cellStyle name="20% - Accent3 2 7" xfId="128"/>
    <cellStyle name="20% - Accent3 2 7 2" xfId="1497"/>
    <cellStyle name="20% - Accent3 2 8" xfId="1018"/>
    <cellStyle name="20% - Accent3 2 9" xfId="1427"/>
    <cellStyle name="20% - Accent3 3" xfId="71"/>
    <cellStyle name="20% - Accent3 3 2" xfId="272"/>
    <cellStyle name="20% - Accent3 3 2 2" xfId="535"/>
    <cellStyle name="20% - Accent3 3 2 2 2" xfId="917"/>
    <cellStyle name="20% - Accent3 3 2 2 2 2" xfId="2273"/>
    <cellStyle name="20% - Accent3 3 2 2 3" xfId="1302"/>
    <cellStyle name="20% - Accent3 3 2 2 4" xfId="1893"/>
    <cellStyle name="20% - Accent3 3 2 3" xfId="647"/>
    <cellStyle name="20% - Accent3 3 2 3 2" xfId="2005"/>
    <cellStyle name="20% - Accent3 3 2 4" xfId="789"/>
    <cellStyle name="20% - Accent3 3 2 4 2" xfId="2147"/>
    <cellStyle name="20% - Accent3 3 2 5" xfId="400"/>
    <cellStyle name="20% - Accent3 3 2 5 2" xfId="1767"/>
    <cellStyle name="20% - Accent3 3 2 6" xfId="1158"/>
    <cellStyle name="20% - Accent3 3 2 7" xfId="1639"/>
    <cellStyle name="20% - Accent3 3 3" xfId="212"/>
    <cellStyle name="20% - Accent3 3 3 2" xfId="860"/>
    <cellStyle name="20% - Accent3 3 3 2 2" xfId="2217"/>
    <cellStyle name="20% - Accent3 3 3 3" xfId="472"/>
    <cellStyle name="20% - Accent3 3 3 3 2" xfId="1837"/>
    <cellStyle name="20% - Accent3 3 3 4" xfId="1102"/>
    <cellStyle name="20% - Accent3 3 3 5" xfId="1581"/>
    <cellStyle name="20% - Accent3 3 4" xfId="591"/>
    <cellStyle name="20% - Accent3 3 4 2" xfId="1231"/>
    <cellStyle name="20% - Accent3 3 4 3" xfId="1949"/>
    <cellStyle name="20% - Accent3 3 5" xfId="731"/>
    <cellStyle name="20% - Accent3 3 5 2" xfId="2089"/>
    <cellStyle name="20% - Accent3 3 6" xfId="342"/>
    <cellStyle name="20% - Accent3 3 6 2" xfId="1709"/>
    <cellStyle name="20% - Accent3 3 7" xfId="142"/>
    <cellStyle name="20% - Accent3 3 7 2" xfId="1511"/>
    <cellStyle name="20% - Accent3 3 8" xfId="1032"/>
    <cellStyle name="20% - Accent3 3 9" xfId="1441"/>
    <cellStyle name="20% - Accent3 4" xfId="85"/>
    <cellStyle name="20% - Accent3 4 2" xfId="285"/>
    <cellStyle name="20% - Accent3 4 2 2" xfId="549"/>
    <cellStyle name="20% - Accent3 4 2 2 2" xfId="931"/>
    <cellStyle name="20% - Accent3 4 2 2 2 2" xfId="2287"/>
    <cellStyle name="20% - Accent3 4 2 2 3" xfId="1316"/>
    <cellStyle name="20% - Accent3 4 2 2 4" xfId="1907"/>
    <cellStyle name="20% - Accent3 4 2 3" xfId="661"/>
    <cellStyle name="20% - Accent3 4 2 3 2" xfId="2019"/>
    <cellStyle name="20% - Accent3 4 2 4" xfId="802"/>
    <cellStyle name="20% - Accent3 4 2 4 2" xfId="2160"/>
    <cellStyle name="20% - Accent3 4 2 5" xfId="413"/>
    <cellStyle name="20% - Accent3 4 2 5 2" xfId="1780"/>
    <cellStyle name="20% - Accent3 4 2 6" xfId="1172"/>
    <cellStyle name="20% - Accent3 4 2 7" xfId="1652"/>
    <cellStyle name="20% - Accent3 4 3" xfId="226"/>
    <cellStyle name="20% - Accent3 4 3 2" xfId="874"/>
    <cellStyle name="20% - Accent3 4 3 2 2" xfId="2231"/>
    <cellStyle name="20% - Accent3 4 3 3" xfId="486"/>
    <cellStyle name="20% - Accent3 4 3 3 2" xfId="1851"/>
    <cellStyle name="20% - Accent3 4 3 4" xfId="1116"/>
    <cellStyle name="20% - Accent3 4 3 5" xfId="1595"/>
    <cellStyle name="20% - Accent3 4 4" xfId="605"/>
    <cellStyle name="20% - Accent3 4 4 2" xfId="1245"/>
    <cellStyle name="20% - Accent3 4 4 3" xfId="1963"/>
    <cellStyle name="20% - Accent3 4 5" xfId="745"/>
    <cellStyle name="20% - Accent3 4 5 2" xfId="2103"/>
    <cellStyle name="20% - Accent3 4 6" xfId="356"/>
    <cellStyle name="20% - Accent3 4 6 2" xfId="1723"/>
    <cellStyle name="20% - Accent3 4 7" xfId="156"/>
    <cellStyle name="20% - Accent3 4 7 2" xfId="1525"/>
    <cellStyle name="20% - Accent3 4 8" xfId="1046"/>
    <cellStyle name="20% - Accent3 4 9" xfId="1455"/>
    <cellStyle name="20% - Accent3 5" xfId="99"/>
    <cellStyle name="20% - Accent3 5 2" xfId="242"/>
    <cellStyle name="20% - Accent3 5 2 2" xfId="887"/>
    <cellStyle name="20% - Accent3 5 2 2 2" xfId="2243"/>
    <cellStyle name="20% - Accent3 5 2 3" xfId="502"/>
    <cellStyle name="20% - Accent3 5 2 3 2" xfId="1863"/>
    <cellStyle name="20% - Accent3 5 2 4" xfId="1128"/>
    <cellStyle name="20% - Accent3 5 2 5" xfId="1609"/>
    <cellStyle name="20% - Accent3 5 3" xfId="675"/>
    <cellStyle name="20% - Accent3 5 3 2" xfId="1259"/>
    <cellStyle name="20% - Accent3 5 3 3" xfId="2033"/>
    <cellStyle name="20% - Accent3 5 4" xfId="759"/>
    <cellStyle name="20% - Accent3 5 4 2" xfId="2117"/>
    <cellStyle name="20% - Accent3 5 5" xfId="370"/>
    <cellStyle name="20% - Accent3 5 5 2" xfId="1737"/>
    <cellStyle name="20% - Accent3 5 6" xfId="170"/>
    <cellStyle name="20% - Accent3 5 6 2" xfId="1539"/>
    <cellStyle name="20% - Accent3 5 7" xfId="1060"/>
    <cellStyle name="20% - Accent3 5 8" xfId="1469"/>
    <cellStyle name="20% - Accent3 6" xfId="182"/>
    <cellStyle name="20% - Accent3 6 2" xfId="617"/>
    <cellStyle name="20% - Accent3 6 2 2" xfId="1272"/>
    <cellStyle name="20% - Accent3 6 2 3" xfId="1975"/>
    <cellStyle name="20% - Accent3 6 3" xfId="817"/>
    <cellStyle name="20% - Accent3 6 3 2" xfId="2175"/>
    <cellStyle name="20% - Accent3 6 4" xfId="428"/>
    <cellStyle name="20% - Accent3 6 4 2" xfId="1795"/>
    <cellStyle name="20% - Accent3 6 5" xfId="1072"/>
    <cellStyle name="20% - Accent3 6 6" xfId="1551"/>
    <cellStyle name="20% - Accent3 7" xfId="300"/>
    <cellStyle name="20% - Accent3 7 2" xfId="689"/>
    <cellStyle name="20% - Accent3 7 2 2" xfId="1330"/>
    <cellStyle name="20% - Accent3 7 2 3" xfId="2047"/>
    <cellStyle name="20% - Accent3 7 3" xfId="830"/>
    <cellStyle name="20% - Accent3 7 3 2" xfId="2187"/>
    <cellStyle name="20% - Accent3 7 4" xfId="442"/>
    <cellStyle name="20% - Accent3 7 4 2" xfId="1807"/>
    <cellStyle name="20% - Accent3 7 5" xfId="1186"/>
    <cellStyle name="20% - Accent3 7 6" xfId="1667"/>
    <cellStyle name="20% - Accent3 8" xfId="561"/>
    <cellStyle name="20% - Accent3 8 2" xfId="1200"/>
    <cellStyle name="20% - Accent3 8 3" xfId="1919"/>
    <cellStyle name="20% - Accent3 9" xfId="701"/>
    <cellStyle name="20% - Accent3 9 2" xfId="1344"/>
    <cellStyle name="20% - Accent3 9 3" xfId="2059"/>
    <cellStyle name="20% - Accent4" xfId="31" builtinId="42" customBuiltin="1"/>
    <cellStyle name="20% - Accent4 10" xfId="314"/>
    <cellStyle name="20% - Accent4 10 2" xfId="1360"/>
    <cellStyle name="20% - Accent4 10 3" xfId="1681"/>
    <cellStyle name="20% - Accent4 11" xfId="114"/>
    <cellStyle name="20% - Accent4 11 2" xfId="1373"/>
    <cellStyle name="20% - Accent4 11 3" xfId="1483"/>
    <cellStyle name="20% - Accent4 12" xfId="947"/>
    <cellStyle name="20% - Accent4 12 2" xfId="1386"/>
    <cellStyle name="20% - Accent4 12 3" xfId="2303"/>
    <cellStyle name="20% - Accent4 13" xfId="961"/>
    <cellStyle name="20% - Accent4 13 2" xfId="1400"/>
    <cellStyle name="20% - Accent4 13 3" xfId="2317"/>
    <cellStyle name="20% - Accent4 14" xfId="975"/>
    <cellStyle name="20% - Accent4 14 2" xfId="2331"/>
    <cellStyle name="20% - Accent4 15" xfId="991"/>
    <cellStyle name="20% - Accent4 16" xfId="1004"/>
    <cellStyle name="20% - Accent4 17" xfId="1413"/>
    <cellStyle name="20% - Accent4 2" xfId="55"/>
    <cellStyle name="20% - Accent4 2 2" xfId="260"/>
    <cellStyle name="20% - Accent4 2 2 2" xfId="523"/>
    <cellStyle name="20% - Accent4 2 2 2 2" xfId="905"/>
    <cellStyle name="20% - Accent4 2 2 2 2 2" xfId="2261"/>
    <cellStyle name="20% - Accent4 2 2 2 3" xfId="1290"/>
    <cellStyle name="20% - Accent4 2 2 2 4" xfId="1881"/>
    <cellStyle name="20% - Accent4 2 2 3" xfId="635"/>
    <cellStyle name="20% - Accent4 2 2 3 2" xfId="1993"/>
    <cellStyle name="20% - Accent4 2 2 4" xfId="777"/>
    <cellStyle name="20% - Accent4 2 2 4 2" xfId="2135"/>
    <cellStyle name="20% - Accent4 2 2 5" xfId="388"/>
    <cellStyle name="20% - Accent4 2 2 5 2" xfId="1755"/>
    <cellStyle name="20% - Accent4 2 2 6" xfId="1146"/>
    <cellStyle name="20% - Accent4 2 2 7" xfId="1627"/>
    <cellStyle name="20% - Accent4 2 3" xfId="200"/>
    <cellStyle name="20% - Accent4 2 3 2" xfId="848"/>
    <cellStyle name="20% - Accent4 2 3 2 2" xfId="2205"/>
    <cellStyle name="20% - Accent4 2 3 3" xfId="460"/>
    <cellStyle name="20% - Accent4 2 3 3 2" xfId="1825"/>
    <cellStyle name="20% - Accent4 2 3 4" xfId="1090"/>
    <cellStyle name="20% - Accent4 2 3 5" xfId="1569"/>
    <cellStyle name="20% - Accent4 2 4" xfId="579"/>
    <cellStyle name="20% - Accent4 2 4 2" xfId="1219"/>
    <cellStyle name="20% - Accent4 2 4 3" xfId="1937"/>
    <cellStyle name="20% - Accent4 2 5" xfId="719"/>
    <cellStyle name="20% - Accent4 2 5 2" xfId="2077"/>
    <cellStyle name="20% - Accent4 2 6" xfId="330"/>
    <cellStyle name="20% - Accent4 2 6 2" xfId="1697"/>
    <cellStyle name="20% - Accent4 2 7" xfId="130"/>
    <cellStyle name="20% - Accent4 2 7 2" xfId="1499"/>
    <cellStyle name="20% - Accent4 2 8" xfId="1020"/>
    <cellStyle name="20% - Accent4 2 9" xfId="1429"/>
    <cellStyle name="20% - Accent4 3" xfId="73"/>
    <cellStyle name="20% - Accent4 3 2" xfId="274"/>
    <cellStyle name="20% - Accent4 3 2 2" xfId="537"/>
    <cellStyle name="20% - Accent4 3 2 2 2" xfId="919"/>
    <cellStyle name="20% - Accent4 3 2 2 2 2" xfId="2275"/>
    <cellStyle name="20% - Accent4 3 2 2 3" xfId="1304"/>
    <cellStyle name="20% - Accent4 3 2 2 4" xfId="1895"/>
    <cellStyle name="20% - Accent4 3 2 3" xfId="649"/>
    <cellStyle name="20% - Accent4 3 2 3 2" xfId="2007"/>
    <cellStyle name="20% - Accent4 3 2 4" xfId="791"/>
    <cellStyle name="20% - Accent4 3 2 4 2" xfId="2149"/>
    <cellStyle name="20% - Accent4 3 2 5" xfId="402"/>
    <cellStyle name="20% - Accent4 3 2 5 2" xfId="1769"/>
    <cellStyle name="20% - Accent4 3 2 6" xfId="1160"/>
    <cellStyle name="20% - Accent4 3 2 7" xfId="1641"/>
    <cellStyle name="20% - Accent4 3 3" xfId="214"/>
    <cellStyle name="20% - Accent4 3 3 2" xfId="862"/>
    <cellStyle name="20% - Accent4 3 3 2 2" xfId="2219"/>
    <cellStyle name="20% - Accent4 3 3 3" xfId="474"/>
    <cellStyle name="20% - Accent4 3 3 3 2" xfId="1839"/>
    <cellStyle name="20% - Accent4 3 3 4" xfId="1104"/>
    <cellStyle name="20% - Accent4 3 3 5" xfId="1583"/>
    <cellStyle name="20% - Accent4 3 4" xfId="593"/>
    <cellStyle name="20% - Accent4 3 4 2" xfId="1233"/>
    <cellStyle name="20% - Accent4 3 4 3" xfId="1951"/>
    <cellStyle name="20% - Accent4 3 5" xfId="733"/>
    <cellStyle name="20% - Accent4 3 5 2" xfId="2091"/>
    <cellStyle name="20% - Accent4 3 6" xfId="344"/>
    <cellStyle name="20% - Accent4 3 6 2" xfId="1711"/>
    <cellStyle name="20% - Accent4 3 7" xfId="144"/>
    <cellStyle name="20% - Accent4 3 7 2" xfId="1513"/>
    <cellStyle name="20% - Accent4 3 8" xfId="1034"/>
    <cellStyle name="20% - Accent4 3 9" xfId="1443"/>
    <cellStyle name="20% - Accent4 4" xfId="87"/>
    <cellStyle name="20% - Accent4 4 2" xfId="287"/>
    <cellStyle name="20% - Accent4 4 2 2" xfId="551"/>
    <cellStyle name="20% - Accent4 4 2 2 2" xfId="933"/>
    <cellStyle name="20% - Accent4 4 2 2 2 2" xfId="2289"/>
    <cellStyle name="20% - Accent4 4 2 2 3" xfId="1318"/>
    <cellStyle name="20% - Accent4 4 2 2 4" xfId="1909"/>
    <cellStyle name="20% - Accent4 4 2 3" xfId="663"/>
    <cellStyle name="20% - Accent4 4 2 3 2" xfId="2021"/>
    <cellStyle name="20% - Accent4 4 2 4" xfId="804"/>
    <cellStyle name="20% - Accent4 4 2 4 2" xfId="2162"/>
    <cellStyle name="20% - Accent4 4 2 5" xfId="415"/>
    <cellStyle name="20% - Accent4 4 2 5 2" xfId="1782"/>
    <cellStyle name="20% - Accent4 4 2 6" xfId="1174"/>
    <cellStyle name="20% - Accent4 4 2 7" xfId="1654"/>
    <cellStyle name="20% - Accent4 4 3" xfId="228"/>
    <cellStyle name="20% - Accent4 4 3 2" xfId="876"/>
    <cellStyle name="20% - Accent4 4 3 2 2" xfId="2233"/>
    <cellStyle name="20% - Accent4 4 3 3" xfId="488"/>
    <cellStyle name="20% - Accent4 4 3 3 2" xfId="1853"/>
    <cellStyle name="20% - Accent4 4 3 4" xfId="1118"/>
    <cellStyle name="20% - Accent4 4 3 5" xfId="1597"/>
    <cellStyle name="20% - Accent4 4 4" xfId="607"/>
    <cellStyle name="20% - Accent4 4 4 2" xfId="1247"/>
    <cellStyle name="20% - Accent4 4 4 3" xfId="1965"/>
    <cellStyle name="20% - Accent4 4 5" xfId="747"/>
    <cellStyle name="20% - Accent4 4 5 2" xfId="2105"/>
    <cellStyle name="20% - Accent4 4 6" xfId="358"/>
    <cellStyle name="20% - Accent4 4 6 2" xfId="1725"/>
    <cellStyle name="20% - Accent4 4 7" xfId="158"/>
    <cellStyle name="20% - Accent4 4 7 2" xfId="1527"/>
    <cellStyle name="20% - Accent4 4 8" xfId="1048"/>
    <cellStyle name="20% - Accent4 4 9" xfId="1457"/>
    <cellStyle name="20% - Accent4 5" xfId="101"/>
    <cellStyle name="20% - Accent4 5 2" xfId="244"/>
    <cellStyle name="20% - Accent4 5 2 2" xfId="889"/>
    <cellStyle name="20% - Accent4 5 2 2 2" xfId="2245"/>
    <cellStyle name="20% - Accent4 5 2 3" xfId="504"/>
    <cellStyle name="20% - Accent4 5 2 3 2" xfId="1865"/>
    <cellStyle name="20% - Accent4 5 2 4" xfId="1130"/>
    <cellStyle name="20% - Accent4 5 2 5" xfId="1611"/>
    <cellStyle name="20% - Accent4 5 3" xfId="677"/>
    <cellStyle name="20% - Accent4 5 3 2" xfId="1261"/>
    <cellStyle name="20% - Accent4 5 3 3" xfId="2035"/>
    <cellStyle name="20% - Accent4 5 4" xfId="761"/>
    <cellStyle name="20% - Accent4 5 4 2" xfId="2119"/>
    <cellStyle name="20% - Accent4 5 5" xfId="372"/>
    <cellStyle name="20% - Accent4 5 5 2" xfId="1739"/>
    <cellStyle name="20% - Accent4 5 6" xfId="172"/>
    <cellStyle name="20% - Accent4 5 6 2" xfId="1541"/>
    <cellStyle name="20% - Accent4 5 7" xfId="1062"/>
    <cellStyle name="20% - Accent4 5 8" xfId="1471"/>
    <cellStyle name="20% - Accent4 6" xfId="184"/>
    <cellStyle name="20% - Accent4 6 2" xfId="619"/>
    <cellStyle name="20% - Accent4 6 2 2" xfId="1274"/>
    <cellStyle name="20% - Accent4 6 2 3" xfId="1977"/>
    <cellStyle name="20% - Accent4 6 3" xfId="819"/>
    <cellStyle name="20% - Accent4 6 3 2" xfId="2177"/>
    <cellStyle name="20% - Accent4 6 4" xfId="430"/>
    <cellStyle name="20% - Accent4 6 4 2" xfId="1797"/>
    <cellStyle name="20% - Accent4 6 5" xfId="1074"/>
    <cellStyle name="20% - Accent4 6 6" xfId="1553"/>
    <cellStyle name="20% - Accent4 7" xfId="302"/>
    <cellStyle name="20% - Accent4 7 2" xfId="691"/>
    <cellStyle name="20% - Accent4 7 2 2" xfId="1332"/>
    <cellStyle name="20% - Accent4 7 2 3" xfId="2049"/>
    <cellStyle name="20% - Accent4 7 3" xfId="832"/>
    <cellStyle name="20% - Accent4 7 3 2" xfId="2189"/>
    <cellStyle name="20% - Accent4 7 4" xfId="444"/>
    <cellStyle name="20% - Accent4 7 4 2" xfId="1809"/>
    <cellStyle name="20% - Accent4 7 5" xfId="1188"/>
    <cellStyle name="20% - Accent4 7 6" xfId="1669"/>
    <cellStyle name="20% - Accent4 8" xfId="563"/>
    <cellStyle name="20% - Accent4 8 2" xfId="1202"/>
    <cellStyle name="20% - Accent4 8 3" xfId="1921"/>
    <cellStyle name="20% - Accent4 9" xfId="703"/>
    <cellStyle name="20% - Accent4 9 2" xfId="1346"/>
    <cellStyle name="20% - Accent4 9 3" xfId="2061"/>
    <cellStyle name="20% - Accent5" xfId="35" builtinId="46" customBuiltin="1"/>
    <cellStyle name="20% - Accent5 10" xfId="316"/>
    <cellStyle name="20% - Accent5 10 2" xfId="1362"/>
    <cellStyle name="20% - Accent5 10 3" xfId="1683"/>
    <cellStyle name="20% - Accent5 11" xfId="116"/>
    <cellStyle name="20% - Accent5 11 2" xfId="1375"/>
    <cellStyle name="20% - Accent5 11 3" xfId="1485"/>
    <cellStyle name="20% - Accent5 12" xfId="949"/>
    <cellStyle name="20% - Accent5 12 2" xfId="1388"/>
    <cellStyle name="20% - Accent5 12 3" xfId="2305"/>
    <cellStyle name="20% - Accent5 13" xfId="963"/>
    <cellStyle name="20% - Accent5 13 2" xfId="1402"/>
    <cellStyle name="20% - Accent5 13 3" xfId="2319"/>
    <cellStyle name="20% - Accent5 14" xfId="977"/>
    <cellStyle name="20% - Accent5 14 2" xfId="2333"/>
    <cellStyle name="20% - Accent5 15" xfId="993"/>
    <cellStyle name="20% - Accent5 16" xfId="1006"/>
    <cellStyle name="20% - Accent5 17" xfId="1415"/>
    <cellStyle name="20% - Accent5 2" xfId="57"/>
    <cellStyle name="20% - Accent5 2 2" xfId="262"/>
    <cellStyle name="20% - Accent5 2 2 2" xfId="525"/>
    <cellStyle name="20% - Accent5 2 2 2 2" xfId="907"/>
    <cellStyle name="20% - Accent5 2 2 2 2 2" xfId="2263"/>
    <cellStyle name="20% - Accent5 2 2 2 3" xfId="1292"/>
    <cellStyle name="20% - Accent5 2 2 2 4" xfId="1883"/>
    <cellStyle name="20% - Accent5 2 2 3" xfId="637"/>
    <cellStyle name="20% - Accent5 2 2 3 2" xfId="1995"/>
    <cellStyle name="20% - Accent5 2 2 4" xfId="779"/>
    <cellStyle name="20% - Accent5 2 2 4 2" xfId="2137"/>
    <cellStyle name="20% - Accent5 2 2 5" xfId="390"/>
    <cellStyle name="20% - Accent5 2 2 5 2" xfId="1757"/>
    <cellStyle name="20% - Accent5 2 2 6" xfId="1148"/>
    <cellStyle name="20% - Accent5 2 2 7" xfId="1629"/>
    <cellStyle name="20% - Accent5 2 3" xfId="202"/>
    <cellStyle name="20% - Accent5 2 3 2" xfId="850"/>
    <cellStyle name="20% - Accent5 2 3 2 2" xfId="2207"/>
    <cellStyle name="20% - Accent5 2 3 3" xfId="462"/>
    <cellStyle name="20% - Accent5 2 3 3 2" xfId="1827"/>
    <cellStyle name="20% - Accent5 2 3 4" xfId="1092"/>
    <cellStyle name="20% - Accent5 2 3 5" xfId="1571"/>
    <cellStyle name="20% - Accent5 2 4" xfId="581"/>
    <cellStyle name="20% - Accent5 2 4 2" xfId="1221"/>
    <cellStyle name="20% - Accent5 2 4 3" xfId="1939"/>
    <cellStyle name="20% - Accent5 2 5" xfId="721"/>
    <cellStyle name="20% - Accent5 2 5 2" xfId="2079"/>
    <cellStyle name="20% - Accent5 2 6" xfId="332"/>
    <cellStyle name="20% - Accent5 2 6 2" xfId="1699"/>
    <cellStyle name="20% - Accent5 2 7" xfId="132"/>
    <cellStyle name="20% - Accent5 2 7 2" xfId="1501"/>
    <cellStyle name="20% - Accent5 2 8" xfId="1022"/>
    <cellStyle name="20% - Accent5 2 9" xfId="1431"/>
    <cellStyle name="20% - Accent5 3" xfId="75"/>
    <cellStyle name="20% - Accent5 3 2" xfId="276"/>
    <cellStyle name="20% - Accent5 3 2 2" xfId="539"/>
    <cellStyle name="20% - Accent5 3 2 2 2" xfId="921"/>
    <cellStyle name="20% - Accent5 3 2 2 2 2" xfId="2277"/>
    <cellStyle name="20% - Accent5 3 2 2 3" xfId="1306"/>
    <cellStyle name="20% - Accent5 3 2 2 4" xfId="1897"/>
    <cellStyle name="20% - Accent5 3 2 3" xfId="651"/>
    <cellStyle name="20% - Accent5 3 2 3 2" xfId="2009"/>
    <cellStyle name="20% - Accent5 3 2 4" xfId="793"/>
    <cellStyle name="20% - Accent5 3 2 4 2" xfId="2151"/>
    <cellStyle name="20% - Accent5 3 2 5" xfId="404"/>
    <cellStyle name="20% - Accent5 3 2 5 2" xfId="1771"/>
    <cellStyle name="20% - Accent5 3 2 6" xfId="1162"/>
    <cellStyle name="20% - Accent5 3 2 7" xfId="1643"/>
    <cellStyle name="20% - Accent5 3 3" xfId="216"/>
    <cellStyle name="20% - Accent5 3 3 2" xfId="864"/>
    <cellStyle name="20% - Accent5 3 3 2 2" xfId="2221"/>
    <cellStyle name="20% - Accent5 3 3 3" xfId="476"/>
    <cellStyle name="20% - Accent5 3 3 3 2" xfId="1841"/>
    <cellStyle name="20% - Accent5 3 3 4" xfId="1106"/>
    <cellStyle name="20% - Accent5 3 3 5" xfId="1585"/>
    <cellStyle name="20% - Accent5 3 4" xfId="595"/>
    <cellStyle name="20% - Accent5 3 4 2" xfId="1235"/>
    <cellStyle name="20% - Accent5 3 4 3" xfId="1953"/>
    <cellStyle name="20% - Accent5 3 5" xfId="735"/>
    <cellStyle name="20% - Accent5 3 5 2" xfId="2093"/>
    <cellStyle name="20% - Accent5 3 6" xfId="346"/>
    <cellStyle name="20% - Accent5 3 6 2" xfId="1713"/>
    <cellStyle name="20% - Accent5 3 7" xfId="146"/>
    <cellStyle name="20% - Accent5 3 7 2" xfId="1515"/>
    <cellStyle name="20% - Accent5 3 8" xfId="1036"/>
    <cellStyle name="20% - Accent5 3 9" xfId="1445"/>
    <cellStyle name="20% - Accent5 4" xfId="89"/>
    <cellStyle name="20% - Accent5 4 2" xfId="289"/>
    <cellStyle name="20% - Accent5 4 2 2" xfId="553"/>
    <cellStyle name="20% - Accent5 4 2 2 2" xfId="935"/>
    <cellStyle name="20% - Accent5 4 2 2 2 2" xfId="2291"/>
    <cellStyle name="20% - Accent5 4 2 2 3" xfId="1320"/>
    <cellStyle name="20% - Accent5 4 2 2 4" xfId="1911"/>
    <cellStyle name="20% - Accent5 4 2 3" xfId="665"/>
    <cellStyle name="20% - Accent5 4 2 3 2" xfId="2023"/>
    <cellStyle name="20% - Accent5 4 2 4" xfId="806"/>
    <cellStyle name="20% - Accent5 4 2 4 2" xfId="2164"/>
    <cellStyle name="20% - Accent5 4 2 5" xfId="417"/>
    <cellStyle name="20% - Accent5 4 2 5 2" xfId="1784"/>
    <cellStyle name="20% - Accent5 4 2 6" xfId="1176"/>
    <cellStyle name="20% - Accent5 4 2 7" xfId="1656"/>
    <cellStyle name="20% - Accent5 4 3" xfId="230"/>
    <cellStyle name="20% - Accent5 4 3 2" xfId="878"/>
    <cellStyle name="20% - Accent5 4 3 2 2" xfId="2235"/>
    <cellStyle name="20% - Accent5 4 3 3" xfId="490"/>
    <cellStyle name="20% - Accent5 4 3 3 2" xfId="1855"/>
    <cellStyle name="20% - Accent5 4 3 4" xfId="1120"/>
    <cellStyle name="20% - Accent5 4 3 5" xfId="1599"/>
    <cellStyle name="20% - Accent5 4 4" xfId="609"/>
    <cellStyle name="20% - Accent5 4 4 2" xfId="1249"/>
    <cellStyle name="20% - Accent5 4 4 3" xfId="1967"/>
    <cellStyle name="20% - Accent5 4 5" xfId="749"/>
    <cellStyle name="20% - Accent5 4 5 2" xfId="2107"/>
    <cellStyle name="20% - Accent5 4 6" xfId="360"/>
    <cellStyle name="20% - Accent5 4 6 2" xfId="1727"/>
    <cellStyle name="20% - Accent5 4 7" xfId="160"/>
    <cellStyle name="20% - Accent5 4 7 2" xfId="1529"/>
    <cellStyle name="20% - Accent5 4 8" xfId="1050"/>
    <cellStyle name="20% - Accent5 4 9" xfId="1459"/>
    <cellStyle name="20% - Accent5 5" xfId="103"/>
    <cellStyle name="20% - Accent5 5 2" xfId="246"/>
    <cellStyle name="20% - Accent5 5 2 2" xfId="891"/>
    <cellStyle name="20% - Accent5 5 2 2 2" xfId="2247"/>
    <cellStyle name="20% - Accent5 5 2 3" xfId="506"/>
    <cellStyle name="20% - Accent5 5 2 3 2" xfId="1867"/>
    <cellStyle name="20% - Accent5 5 2 4" xfId="1132"/>
    <cellStyle name="20% - Accent5 5 2 5" xfId="1613"/>
    <cellStyle name="20% - Accent5 5 3" xfId="679"/>
    <cellStyle name="20% - Accent5 5 3 2" xfId="1263"/>
    <cellStyle name="20% - Accent5 5 3 3" xfId="2037"/>
    <cellStyle name="20% - Accent5 5 4" xfId="763"/>
    <cellStyle name="20% - Accent5 5 4 2" xfId="2121"/>
    <cellStyle name="20% - Accent5 5 5" xfId="374"/>
    <cellStyle name="20% - Accent5 5 5 2" xfId="1741"/>
    <cellStyle name="20% - Accent5 5 6" xfId="174"/>
    <cellStyle name="20% - Accent5 5 6 2" xfId="1543"/>
    <cellStyle name="20% - Accent5 5 7" xfId="1064"/>
    <cellStyle name="20% - Accent5 5 8" xfId="1473"/>
    <cellStyle name="20% - Accent5 6" xfId="186"/>
    <cellStyle name="20% - Accent5 6 2" xfId="621"/>
    <cellStyle name="20% - Accent5 6 2 2" xfId="1276"/>
    <cellStyle name="20% - Accent5 6 2 3" xfId="1979"/>
    <cellStyle name="20% - Accent5 6 3" xfId="821"/>
    <cellStyle name="20% - Accent5 6 3 2" xfId="2179"/>
    <cellStyle name="20% - Accent5 6 4" xfId="432"/>
    <cellStyle name="20% - Accent5 6 4 2" xfId="1799"/>
    <cellStyle name="20% - Accent5 6 5" xfId="1076"/>
    <cellStyle name="20% - Accent5 6 6" xfId="1555"/>
    <cellStyle name="20% - Accent5 7" xfId="304"/>
    <cellStyle name="20% - Accent5 7 2" xfId="693"/>
    <cellStyle name="20% - Accent5 7 2 2" xfId="1334"/>
    <cellStyle name="20% - Accent5 7 2 3" xfId="2051"/>
    <cellStyle name="20% - Accent5 7 3" xfId="834"/>
    <cellStyle name="20% - Accent5 7 3 2" xfId="2191"/>
    <cellStyle name="20% - Accent5 7 4" xfId="446"/>
    <cellStyle name="20% - Accent5 7 4 2" xfId="1811"/>
    <cellStyle name="20% - Accent5 7 5" xfId="1190"/>
    <cellStyle name="20% - Accent5 7 6" xfId="1671"/>
    <cellStyle name="20% - Accent5 8" xfId="565"/>
    <cellStyle name="20% - Accent5 8 2" xfId="1204"/>
    <cellStyle name="20% - Accent5 8 3" xfId="1923"/>
    <cellStyle name="20% - Accent5 9" xfId="705"/>
    <cellStyle name="20% - Accent5 9 2" xfId="1348"/>
    <cellStyle name="20% - Accent5 9 3" xfId="2063"/>
    <cellStyle name="20% - Accent6" xfId="39" builtinId="50" customBuiltin="1"/>
    <cellStyle name="20% - Accent6 10" xfId="318"/>
    <cellStyle name="20% - Accent6 10 2" xfId="1364"/>
    <cellStyle name="20% - Accent6 10 3" xfId="1685"/>
    <cellStyle name="20% - Accent6 11" xfId="118"/>
    <cellStyle name="20% - Accent6 11 2" xfId="1377"/>
    <cellStyle name="20% - Accent6 11 3" xfId="1487"/>
    <cellStyle name="20% - Accent6 12" xfId="951"/>
    <cellStyle name="20% - Accent6 12 2" xfId="1390"/>
    <cellStyle name="20% - Accent6 12 3" xfId="2307"/>
    <cellStyle name="20% - Accent6 13" xfId="965"/>
    <cellStyle name="20% - Accent6 13 2" xfId="1404"/>
    <cellStyle name="20% - Accent6 13 3" xfId="2321"/>
    <cellStyle name="20% - Accent6 14" xfId="979"/>
    <cellStyle name="20% - Accent6 14 2" xfId="2335"/>
    <cellStyle name="20% - Accent6 15" xfId="995"/>
    <cellStyle name="20% - Accent6 16" xfId="1008"/>
    <cellStyle name="20% - Accent6 17" xfId="1417"/>
    <cellStyle name="20% - Accent6 2" xfId="59"/>
    <cellStyle name="20% - Accent6 2 2" xfId="264"/>
    <cellStyle name="20% - Accent6 2 2 2" xfId="527"/>
    <cellStyle name="20% - Accent6 2 2 2 2" xfId="909"/>
    <cellStyle name="20% - Accent6 2 2 2 2 2" xfId="2265"/>
    <cellStyle name="20% - Accent6 2 2 2 3" xfId="1294"/>
    <cellStyle name="20% - Accent6 2 2 2 4" xfId="1885"/>
    <cellStyle name="20% - Accent6 2 2 3" xfId="639"/>
    <cellStyle name="20% - Accent6 2 2 3 2" xfId="1997"/>
    <cellStyle name="20% - Accent6 2 2 4" xfId="781"/>
    <cellStyle name="20% - Accent6 2 2 4 2" xfId="2139"/>
    <cellStyle name="20% - Accent6 2 2 5" xfId="392"/>
    <cellStyle name="20% - Accent6 2 2 5 2" xfId="1759"/>
    <cellStyle name="20% - Accent6 2 2 6" xfId="1150"/>
    <cellStyle name="20% - Accent6 2 2 7" xfId="1631"/>
    <cellStyle name="20% - Accent6 2 3" xfId="204"/>
    <cellStyle name="20% - Accent6 2 3 2" xfId="852"/>
    <cellStyle name="20% - Accent6 2 3 2 2" xfId="2209"/>
    <cellStyle name="20% - Accent6 2 3 3" xfId="464"/>
    <cellStyle name="20% - Accent6 2 3 3 2" xfId="1829"/>
    <cellStyle name="20% - Accent6 2 3 4" xfId="1094"/>
    <cellStyle name="20% - Accent6 2 3 5" xfId="1573"/>
    <cellStyle name="20% - Accent6 2 4" xfId="583"/>
    <cellStyle name="20% - Accent6 2 4 2" xfId="1223"/>
    <cellStyle name="20% - Accent6 2 4 3" xfId="1941"/>
    <cellStyle name="20% - Accent6 2 5" xfId="723"/>
    <cellStyle name="20% - Accent6 2 5 2" xfId="2081"/>
    <cellStyle name="20% - Accent6 2 6" xfId="334"/>
    <cellStyle name="20% - Accent6 2 6 2" xfId="1701"/>
    <cellStyle name="20% - Accent6 2 7" xfId="134"/>
    <cellStyle name="20% - Accent6 2 7 2" xfId="1503"/>
    <cellStyle name="20% - Accent6 2 8" xfId="1024"/>
    <cellStyle name="20% - Accent6 2 9" xfId="1433"/>
    <cellStyle name="20% - Accent6 3" xfId="77"/>
    <cellStyle name="20% - Accent6 3 2" xfId="278"/>
    <cellStyle name="20% - Accent6 3 2 2" xfId="541"/>
    <cellStyle name="20% - Accent6 3 2 2 2" xfId="923"/>
    <cellStyle name="20% - Accent6 3 2 2 2 2" xfId="2279"/>
    <cellStyle name="20% - Accent6 3 2 2 3" xfId="1308"/>
    <cellStyle name="20% - Accent6 3 2 2 4" xfId="1899"/>
    <cellStyle name="20% - Accent6 3 2 3" xfId="653"/>
    <cellStyle name="20% - Accent6 3 2 3 2" xfId="2011"/>
    <cellStyle name="20% - Accent6 3 2 4" xfId="795"/>
    <cellStyle name="20% - Accent6 3 2 4 2" xfId="2153"/>
    <cellStyle name="20% - Accent6 3 2 5" xfId="406"/>
    <cellStyle name="20% - Accent6 3 2 5 2" xfId="1773"/>
    <cellStyle name="20% - Accent6 3 2 6" xfId="1164"/>
    <cellStyle name="20% - Accent6 3 2 7" xfId="1645"/>
    <cellStyle name="20% - Accent6 3 3" xfId="218"/>
    <cellStyle name="20% - Accent6 3 3 2" xfId="866"/>
    <cellStyle name="20% - Accent6 3 3 2 2" xfId="2223"/>
    <cellStyle name="20% - Accent6 3 3 3" xfId="478"/>
    <cellStyle name="20% - Accent6 3 3 3 2" xfId="1843"/>
    <cellStyle name="20% - Accent6 3 3 4" xfId="1108"/>
    <cellStyle name="20% - Accent6 3 3 5" xfId="1587"/>
    <cellStyle name="20% - Accent6 3 4" xfId="597"/>
    <cellStyle name="20% - Accent6 3 4 2" xfId="1237"/>
    <cellStyle name="20% - Accent6 3 4 3" xfId="1955"/>
    <cellStyle name="20% - Accent6 3 5" xfId="737"/>
    <cellStyle name="20% - Accent6 3 5 2" xfId="2095"/>
    <cellStyle name="20% - Accent6 3 6" xfId="348"/>
    <cellStyle name="20% - Accent6 3 6 2" xfId="1715"/>
    <cellStyle name="20% - Accent6 3 7" xfId="148"/>
    <cellStyle name="20% - Accent6 3 7 2" xfId="1517"/>
    <cellStyle name="20% - Accent6 3 8" xfId="1038"/>
    <cellStyle name="20% - Accent6 3 9" xfId="1447"/>
    <cellStyle name="20% - Accent6 4" xfId="91"/>
    <cellStyle name="20% - Accent6 4 2" xfId="291"/>
    <cellStyle name="20% - Accent6 4 2 2" xfId="555"/>
    <cellStyle name="20% - Accent6 4 2 2 2" xfId="937"/>
    <cellStyle name="20% - Accent6 4 2 2 2 2" xfId="2293"/>
    <cellStyle name="20% - Accent6 4 2 2 3" xfId="1322"/>
    <cellStyle name="20% - Accent6 4 2 2 4" xfId="1913"/>
    <cellStyle name="20% - Accent6 4 2 3" xfId="667"/>
    <cellStyle name="20% - Accent6 4 2 3 2" xfId="2025"/>
    <cellStyle name="20% - Accent6 4 2 4" xfId="808"/>
    <cellStyle name="20% - Accent6 4 2 4 2" xfId="2166"/>
    <cellStyle name="20% - Accent6 4 2 5" xfId="419"/>
    <cellStyle name="20% - Accent6 4 2 5 2" xfId="1786"/>
    <cellStyle name="20% - Accent6 4 2 6" xfId="1178"/>
    <cellStyle name="20% - Accent6 4 2 7" xfId="1658"/>
    <cellStyle name="20% - Accent6 4 3" xfId="232"/>
    <cellStyle name="20% - Accent6 4 3 2" xfId="880"/>
    <cellStyle name="20% - Accent6 4 3 2 2" xfId="2237"/>
    <cellStyle name="20% - Accent6 4 3 3" xfId="492"/>
    <cellStyle name="20% - Accent6 4 3 3 2" xfId="1857"/>
    <cellStyle name="20% - Accent6 4 3 4" xfId="1122"/>
    <cellStyle name="20% - Accent6 4 3 5" xfId="1601"/>
    <cellStyle name="20% - Accent6 4 4" xfId="611"/>
    <cellStyle name="20% - Accent6 4 4 2" xfId="1251"/>
    <cellStyle name="20% - Accent6 4 4 3" xfId="1969"/>
    <cellStyle name="20% - Accent6 4 5" xfId="751"/>
    <cellStyle name="20% - Accent6 4 5 2" xfId="2109"/>
    <cellStyle name="20% - Accent6 4 6" xfId="362"/>
    <cellStyle name="20% - Accent6 4 6 2" xfId="1729"/>
    <cellStyle name="20% - Accent6 4 7" xfId="162"/>
    <cellStyle name="20% - Accent6 4 7 2" xfId="1531"/>
    <cellStyle name="20% - Accent6 4 8" xfId="1052"/>
    <cellStyle name="20% - Accent6 4 9" xfId="1461"/>
    <cellStyle name="20% - Accent6 5" xfId="105"/>
    <cellStyle name="20% - Accent6 5 2" xfId="248"/>
    <cellStyle name="20% - Accent6 5 2 2" xfId="893"/>
    <cellStyle name="20% - Accent6 5 2 2 2" xfId="2249"/>
    <cellStyle name="20% - Accent6 5 2 3" xfId="508"/>
    <cellStyle name="20% - Accent6 5 2 3 2" xfId="1869"/>
    <cellStyle name="20% - Accent6 5 2 4" xfId="1134"/>
    <cellStyle name="20% - Accent6 5 2 5" xfId="1615"/>
    <cellStyle name="20% - Accent6 5 3" xfId="681"/>
    <cellStyle name="20% - Accent6 5 3 2" xfId="1265"/>
    <cellStyle name="20% - Accent6 5 3 3" xfId="2039"/>
    <cellStyle name="20% - Accent6 5 4" xfId="765"/>
    <cellStyle name="20% - Accent6 5 4 2" xfId="2123"/>
    <cellStyle name="20% - Accent6 5 5" xfId="376"/>
    <cellStyle name="20% - Accent6 5 5 2" xfId="1743"/>
    <cellStyle name="20% - Accent6 5 6" xfId="176"/>
    <cellStyle name="20% - Accent6 5 6 2" xfId="1545"/>
    <cellStyle name="20% - Accent6 5 7" xfId="1066"/>
    <cellStyle name="20% - Accent6 5 8" xfId="1475"/>
    <cellStyle name="20% - Accent6 6" xfId="188"/>
    <cellStyle name="20% - Accent6 6 2" xfId="623"/>
    <cellStyle name="20% - Accent6 6 2 2" xfId="1278"/>
    <cellStyle name="20% - Accent6 6 2 3" xfId="1981"/>
    <cellStyle name="20% - Accent6 6 3" xfId="823"/>
    <cellStyle name="20% - Accent6 6 3 2" xfId="2181"/>
    <cellStyle name="20% - Accent6 6 4" xfId="434"/>
    <cellStyle name="20% - Accent6 6 4 2" xfId="1801"/>
    <cellStyle name="20% - Accent6 6 5" xfId="1078"/>
    <cellStyle name="20% - Accent6 6 6" xfId="1557"/>
    <cellStyle name="20% - Accent6 7" xfId="306"/>
    <cellStyle name="20% - Accent6 7 2" xfId="695"/>
    <cellStyle name="20% - Accent6 7 2 2" xfId="1336"/>
    <cellStyle name="20% - Accent6 7 2 3" xfId="2053"/>
    <cellStyle name="20% - Accent6 7 3" xfId="836"/>
    <cellStyle name="20% - Accent6 7 3 2" xfId="2193"/>
    <cellStyle name="20% - Accent6 7 4" xfId="448"/>
    <cellStyle name="20% - Accent6 7 4 2" xfId="1813"/>
    <cellStyle name="20% - Accent6 7 5" xfId="1192"/>
    <cellStyle name="20% - Accent6 7 6" xfId="1673"/>
    <cellStyle name="20% - Accent6 8" xfId="567"/>
    <cellStyle name="20% - Accent6 8 2" xfId="1206"/>
    <cellStyle name="20% - Accent6 8 3" xfId="1925"/>
    <cellStyle name="20% - Accent6 9" xfId="707"/>
    <cellStyle name="20% - Accent6 9 2" xfId="1350"/>
    <cellStyle name="20% - Accent6 9 3" xfId="2065"/>
    <cellStyle name="40% - Accent1" xfId="20" builtinId="31" customBuiltin="1"/>
    <cellStyle name="40% - Accent1 10" xfId="309"/>
    <cellStyle name="40% - Accent1 10 2" xfId="1355"/>
    <cellStyle name="40% - Accent1 10 3" xfId="1676"/>
    <cellStyle name="40% - Accent1 11" xfId="109"/>
    <cellStyle name="40% - Accent1 11 2" xfId="1368"/>
    <cellStyle name="40% - Accent1 11 3" xfId="1478"/>
    <cellStyle name="40% - Accent1 12" xfId="942"/>
    <cellStyle name="40% - Accent1 12 2" xfId="1381"/>
    <cellStyle name="40% - Accent1 12 3" xfId="2298"/>
    <cellStyle name="40% - Accent1 13" xfId="956"/>
    <cellStyle name="40% - Accent1 13 2" xfId="1395"/>
    <cellStyle name="40% - Accent1 13 3" xfId="2312"/>
    <cellStyle name="40% - Accent1 14" xfId="970"/>
    <cellStyle name="40% - Accent1 14 2" xfId="2326"/>
    <cellStyle name="40% - Accent1 15" xfId="986"/>
    <cellStyle name="40% - Accent1 16" xfId="999"/>
    <cellStyle name="40% - Accent1 17" xfId="1408"/>
    <cellStyle name="40% - Accent1 2" xfId="50"/>
    <cellStyle name="40% - Accent1 2 2" xfId="255"/>
    <cellStyle name="40% - Accent1 2 2 2" xfId="518"/>
    <cellStyle name="40% - Accent1 2 2 2 2" xfId="900"/>
    <cellStyle name="40% - Accent1 2 2 2 2 2" xfId="2256"/>
    <cellStyle name="40% - Accent1 2 2 2 3" xfId="1285"/>
    <cellStyle name="40% - Accent1 2 2 2 4" xfId="1876"/>
    <cellStyle name="40% - Accent1 2 2 3" xfId="630"/>
    <cellStyle name="40% - Accent1 2 2 3 2" xfId="1988"/>
    <cellStyle name="40% - Accent1 2 2 4" xfId="772"/>
    <cellStyle name="40% - Accent1 2 2 4 2" xfId="2130"/>
    <cellStyle name="40% - Accent1 2 2 5" xfId="383"/>
    <cellStyle name="40% - Accent1 2 2 5 2" xfId="1750"/>
    <cellStyle name="40% - Accent1 2 2 6" xfId="1141"/>
    <cellStyle name="40% - Accent1 2 2 7" xfId="1622"/>
    <cellStyle name="40% - Accent1 2 3" xfId="195"/>
    <cellStyle name="40% - Accent1 2 3 2" xfId="843"/>
    <cellStyle name="40% - Accent1 2 3 2 2" xfId="2200"/>
    <cellStyle name="40% - Accent1 2 3 3" xfId="455"/>
    <cellStyle name="40% - Accent1 2 3 3 2" xfId="1820"/>
    <cellStyle name="40% - Accent1 2 3 4" xfId="1085"/>
    <cellStyle name="40% - Accent1 2 3 5" xfId="1564"/>
    <cellStyle name="40% - Accent1 2 4" xfId="574"/>
    <cellStyle name="40% - Accent1 2 4 2" xfId="1214"/>
    <cellStyle name="40% - Accent1 2 4 3" xfId="1932"/>
    <cellStyle name="40% - Accent1 2 5" xfId="714"/>
    <cellStyle name="40% - Accent1 2 5 2" xfId="2072"/>
    <cellStyle name="40% - Accent1 2 6" xfId="325"/>
    <cellStyle name="40% - Accent1 2 6 2" xfId="1692"/>
    <cellStyle name="40% - Accent1 2 7" xfId="125"/>
    <cellStyle name="40% - Accent1 2 7 2" xfId="1494"/>
    <cellStyle name="40% - Accent1 2 8" xfId="1015"/>
    <cellStyle name="40% - Accent1 2 9" xfId="1424"/>
    <cellStyle name="40% - Accent1 3" xfId="68"/>
    <cellStyle name="40% - Accent1 3 2" xfId="269"/>
    <cellStyle name="40% - Accent1 3 2 2" xfId="532"/>
    <cellStyle name="40% - Accent1 3 2 2 2" xfId="914"/>
    <cellStyle name="40% - Accent1 3 2 2 2 2" xfId="2270"/>
    <cellStyle name="40% - Accent1 3 2 2 3" xfId="1299"/>
    <cellStyle name="40% - Accent1 3 2 2 4" xfId="1890"/>
    <cellStyle name="40% - Accent1 3 2 3" xfId="644"/>
    <cellStyle name="40% - Accent1 3 2 3 2" xfId="2002"/>
    <cellStyle name="40% - Accent1 3 2 4" xfId="786"/>
    <cellStyle name="40% - Accent1 3 2 4 2" xfId="2144"/>
    <cellStyle name="40% - Accent1 3 2 5" xfId="397"/>
    <cellStyle name="40% - Accent1 3 2 5 2" xfId="1764"/>
    <cellStyle name="40% - Accent1 3 2 6" xfId="1155"/>
    <cellStyle name="40% - Accent1 3 2 7" xfId="1636"/>
    <cellStyle name="40% - Accent1 3 3" xfId="209"/>
    <cellStyle name="40% - Accent1 3 3 2" xfId="857"/>
    <cellStyle name="40% - Accent1 3 3 2 2" xfId="2214"/>
    <cellStyle name="40% - Accent1 3 3 3" xfId="469"/>
    <cellStyle name="40% - Accent1 3 3 3 2" xfId="1834"/>
    <cellStyle name="40% - Accent1 3 3 4" xfId="1099"/>
    <cellStyle name="40% - Accent1 3 3 5" xfId="1578"/>
    <cellStyle name="40% - Accent1 3 4" xfId="588"/>
    <cellStyle name="40% - Accent1 3 4 2" xfId="1228"/>
    <cellStyle name="40% - Accent1 3 4 3" xfId="1946"/>
    <cellStyle name="40% - Accent1 3 5" xfId="728"/>
    <cellStyle name="40% - Accent1 3 5 2" xfId="2086"/>
    <cellStyle name="40% - Accent1 3 6" xfId="339"/>
    <cellStyle name="40% - Accent1 3 6 2" xfId="1706"/>
    <cellStyle name="40% - Accent1 3 7" xfId="139"/>
    <cellStyle name="40% - Accent1 3 7 2" xfId="1508"/>
    <cellStyle name="40% - Accent1 3 8" xfId="1029"/>
    <cellStyle name="40% - Accent1 3 9" xfId="1438"/>
    <cellStyle name="40% - Accent1 4" xfId="82"/>
    <cellStyle name="40% - Accent1 4 2" xfId="282"/>
    <cellStyle name="40% - Accent1 4 2 2" xfId="546"/>
    <cellStyle name="40% - Accent1 4 2 2 2" xfId="928"/>
    <cellStyle name="40% - Accent1 4 2 2 2 2" xfId="2284"/>
    <cellStyle name="40% - Accent1 4 2 2 3" xfId="1313"/>
    <cellStyle name="40% - Accent1 4 2 2 4" xfId="1904"/>
    <cellStyle name="40% - Accent1 4 2 3" xfId="658"/>
    <cellStyle name="40% - Accent1 4 2 3 2" xfId="2016"/>
    <cellStyle name="40% - Accent1 4 2 4" xfId="799"/>
    <cellStyle name="40% - Accent1 4 2 4 2" xfId="2157"/>
    <cellStyle name="40% - Accent1 4 2 5" xfId="410"/>
    <cellStyle name="40% - Accent1 4 2 5 2" xfId="1777"/>
    <cellStyle name="40% - Accent1 4 2 6" xfId="1169"/>
    <cellStyle name="40% - Accent1 4 2 7" xfId="1649"/>
    <cellStyle name="40% - Accent1 4 3" xfId="223"/>
    <cellStyle name="40% - Accent1 4 3 2" xfId="871"/>
    <cellStyle name="40% - Accent1 4 3 2 2" xfId="2228"/>
    <cellStyle name="40% - Accent1 4 3 3" xfId="483"/>
    <cellStyle name="40% - Accent1 4 3 3 2" xfId="1848"/>
    <cellStyle name="40% - Accent1 4 3 4" xfId="1113"/>
    <cellStyle name="40% - Accent1 4 3 5" xfId="1592"/>
    <cellStyle name="40% - Accent1 4 4" xfId="602"/>
    <cellStyle name="40% - Accent1 4 4 2" xfId="1242"/>
    <cellStyle name="40% - Accent1 4 4 3" xfId="1960"/>
    <cellStyle name="40% - Accent1 4 5" xfId="742"/>
    <cellStyle name="40% - Accent1 4 5 2" xfId="2100"/>
    <cellStyle name="40% - Accent1 4 6" xfId="353"/>
    <cellStyle name="40% - Accent1 4 6 2" xfId="1720"/>
    <cellStyle name="40% - Accent1 4 7" xfId="153"/>
    <cellStyle name="40% - Accent1 4 7 2" xfId="1522"/>
    <cellStyle name="40% - Accent1 4 8" xfId="1043"/>
    <cellStyle name="40% - Accent1 4 9" xfId="1452"/>
    <cellStyle name="40% - Accent1 5" xfId="96"/>
    <cellStyle name="40% - Accent1 5 2" xfId="239"/>
    <cellStyle name="40% - Accent1 5 2 2" xfId="884"/>
    <cellStyle name="40% - Accent1 5 2 2 2" xfId="2240"/>
    <cellStyle name="40% - Accent1 5 2 3" xfId="499"/>
    <cellStyle name="40% - Accent1 5 2 3 2" xfId="1860"/>
    <cellStyle name="40% - Accent1 5 2 4" xfId="1125"/>
    <cellStyle name="40% - Accent1 5 2 5" xfId="1606"/>
    <cellStyle name="40% - Accent1 5 3" xfId="672"/>
    <cellStyle name="40% - Accent1 5 3 2" xfId="1256"/>
    <cellStyle name="40% - Accent1 5 3 3" xfId="2030"/>
    <cellStyle name="40% - Accent1 5 4" xfId="756"/>
    <cellStyle name="40% - Accent1 5 4 2" xfId="2114"/>
    <cellStyle name="40% - Accent1 5 5" xfId="367"/>
    <cellStyle name="40% - Accent1 5 5 2" xfId="1734"/>
    <cellStyle name="40% - Accent1 5 6" xfId="167"/>
    <cellStyle name="40% - Accent1 5 6 2" xfId="1536"/>
    <cellStyle name="40% - Accent1 5 7" xfId="1057"/>
    <cellStyle name="40% - Accent1 5 8" xfId="1466"/>
    <cellStyle name="40% - Accent1 6" xfId="179"/>
    <cellStyle name="40% - Accent1 6 2" xfId="614"/>
    <cellStyle name="40% - Accent1 6 2 2" xfId="1269"/>
    <cellStyle name="40% - Accent1 6 2 3" xfId="1972"/>
    <cellStyle name="40% - Accent1 6 3" xfId="814"/>
    <cellStyle name="40% - Accent1 6 3 2" xfId="2172"/>
    <cellStyle name="40% - Accent1 6 4" xfId="425"/>
    <cellStyle name="40% - Accent1 6 4 2" xfId="1792"/>
    <cellStyle name="40% - Accent1 6 5" xfId="1069"/>
    <cellStyle name="40% - Accent1 6 6" xfId="1548"/>
    <cellStyle name="40% - Accent1 7" xfId="297"/>
    <cellStyle name="40% - Accent1 7 2" xfId="686"/>
    <cellStyle name="40% - Accent1 7 2 2" xfId="1327"/>
    <cellStyle name="40% - Accent1 7 2 3" xfId="2044"/>
    <cellStyle name="40% - Accent1 7 3" xfId="827"/>
    <cellStyle name="40% - Accent1 7 3 2" xfId="2184"/>
    <cellStyle name="40% - Accent1 7 4" xfId="439"/>
    <cellStyle name="40% - Accent1 7 4 2" xfId="1804"/>
    <cellStyle name="40% - Accent1 7 5" xfId="1183"/>
    <cellStyle name="40% - Accent1 7 6" xfId="1664"/>
    <cellStyle name="40% - Accent1 8" xfId="558"/>
    <cellStyle name="40% - Accent1 8 2" xfId="1197"/>
    <cellStyle name="40% - Accent1 8 3" xfId="1916"/>
    <cellStyle name="40% - Accent1 9" xfId="698"/>
    <cellStyle name="40% - Accent1 9 2" xfId="1341"/>
    <cellStyle name="40% - Accent1 9 3" xfId="2056"/>
    <cellStyle name="40% - Accent2" xfId="24" builtinId="35" customBuiltin="1"/>
    <cellStyle name="40% - Accent2 10" xfId="311"/>
    <cellStyle name="40% - Accent2 10 2" xfId="1357"/>
    <cellStyle name="40% - Accent2 10 3" xfId="1678"/>
    <cellStyle name="40% - Accent2 11" xfId="111"/>
    <cellStyle name="40% - Accent2 11 2" xfId="1370"/>
    <cellStyle name="40% - Accent2 11 3" xfId="1480"/>
    <cellStyle name="40% - Accent2 12" xfId="944"/>
    <cellStyle name="40% - Accent2 12 2" xfId="1383"/>
    <cellStyle name="40% - Accent2 12 3" xfId="2300"/>
    <cellStyle name="40% - Accent2 13" xfId="958"/>
    <cellStyle name="40% - Accent2 13 2" xfId="1397"/>
    <cellStyle name="40% - Accent2 13 3" xfId="2314"/>
    <cellStyle name="40% - Accent2 14" xfId="972"/>
    <cellStyle name="40% - Accent2 14 2" xfId="2328"/>
    <cellStyle name="40% - Accent2 15" xfId="988"/>
    <cellStyle name="40% - Accent2 16" xfId="1001"/>
    <cellStyle name="40% - Accent2 17" xfId="1410"/>
    <cellStyle name="40% - Accent2 2" xfId="52"/>
    <cellStyle name="40% - Accent2 2 2" xfId="257"/>
    <cellStyle name="40% - Accent2 2 2 2" xfId="520"/>
    <cellStyle name="40% - Accent2 2 2 2 2" xfId="902"/>
    <cellStyle name="40% - Accent2 2 2 2 2 2" xfId="2258"/>
    <cellStyle name="40% - Accent2 2 2 2 3" xfId="1287"/>
    <cellStyle name="40% - Accent2 2 2 2 4" xfId="1878"/>
    <cellStyle name="40% - Accent2 2 2 3" xfId="632"/>
    <cellStyle name="40% - Accent2 2 2 3 2" xfId="1990"/>
    <cellStyle name="40% - Accent2 2 2 4" xfId="774"/>
    <cellStyle name="40% - Accent2 2 2 4 2" xfId="2132"/>
    <cellStyle name="40% - Accent2 2 2 5" xfId="385"/>
    <cellStyle name="40% - Accent2 2 2 5 2" xfId="1752"/>
    <cellStyle name="40% - Accent2 2 2 6" xfId="1143"/>
    <cellStyle name="40% - Accent2 2 2 7" xfId="1624"/>
    <cellStyle name="40% - Accent2 2 3" xfId="197"/>
    <cellStyle name="40% - Accent2 2 3 2" xfId="845"/>
    <cellStyle name="40% - Accent2 2 3 2 2" xfId="2202"/>
    <cellStyle name="40% - Accent2 2 3 3" xfId="457"/>
    <cellStyle name="40% - Accent2 2 3 3 2" xfId="1822"/>
    <cellStyle name="40% - Accent2 2 3 4" xfId="1087"/>
    <cellStyle name="40% - Accent2 2 3 5" xfId="1566"/>
    <cellStyle name="40% - Accent2 2 4" xfId="576"/>
    <cellStyle name="40% - Accent2 2 4 2" xfId="1216"/>
    <cellStyle name="40% - Accent2 2 4 3" xfId="1934"/>
    <cellStyle name="40% - Accent2 2 5" xfId="716"/>
    <cellStyle name="40% - Accent2 2 5 2" xfId="2074"/>
    <cellStyle name="40% - Accent2 2 6" xfId="327"/>
    <cellStyle name="40% - Accent2 2 6 2" xfId="1694"/>
    <cellStyle name="40% - Accent2 2 7" xfId="127"/>
    <cellStyle name="40% - Accent2 2 7 2" xfId="1496"/>
    <cellStyle name="40% - Accent2 2 8" xfId="1017"/>
    <cellStyle name="40% - Accent2 2 9" xfId="1426"/>
    <cellStyle name="40% - Accent2 3" xfId="70"/>
    <cellStyle name="40% - Accent2 3 2" xfId="271"/>
    <cellStyle name="40% - Accent2 3 2 2" xfId="534"/>
    <cellStyle name="40% - Accent2 3 2 2 2" xfId="916"/>
    <cellStyle name="40% - Accent2 3 2 2 2 2" xfId="2272"/>
    <cellStyle name="40% - Accent2 3 2 2 3" xfId="1301"/>
    <cellStyle name="40% - Accent2 3 2 2 4" xfId="1892"/>
    <cellStyle name="40% - Accent2 3 2 3" xfId="646"/>
    <cellStyle name="40% - Accent2 3 2 3 2" xfId="2004"/>
    <cellStyle name="40% - Accent2 3 2 4" xfId="788"/>
    <cellStyle name="40% - Accent2 3 2 4 2" xfId="2146"/>
    <cellStyle name="40% - Accent2 3 2 5" xfId="399"/>
    <cellStyle name="40% - Accent2 3 2 5 2" xfId="1766"/>
    <cellStyle name="40% - Accent2 3 2 6" xfId="1157"/>
    <cellStyle name="40% - Accent2 3 2 7" xfId="1638"/>
    <cellStyle name="40% - Accent2 3 3" xfId="211"/>
    <cellStyle name="40% - Accent2 3 3 2" xfId="859"/>
    <cellStyle name="40% - Accent2 3 3 2 2" xfId="2216"/>
    <cellStyle name="40% - Accent2 3 3 3" xfId="471"/>
    <cellStyle name="40% - Accent2 3 3 3 2" xfId="1836"/>
    <cellStyle name="40% - Accent2 3 3 4" xfId="1101"/>
    <cellStyle name="40% - Accent2 3 3 5" xfId="1580"/>
    <cellStyle name="40% - Accent2 3 4" xfId="590"/>
    <cellStyle name="40% - Accent2 3 4 2" xfId="1230"/>
    <cellStyle name="40% - Accent2 3 4 3" xfId="1948"/>
    <cellStyle name="40% - Accent2 3 5" xfId="730"/>
    <cellStyle name="40% - Accent2 3 5 2" xfId="2088"/>
    <cellStyle name="40% - Accent2 3 6" xfId="341"/>
    <cellStyle name="40% - Accent2 3 6 2" xfId="1708"/>
    <cellStyle name="40% - Accent2 3 7" xfId="141"/>
    <cellStyle name="40% - Accent2 3 7 2" xfId="1510"/>
    <cellStyle name="40% - Accent2 3 8" xfId="1031"/>
    <cellStyle name="40% - Accent2 3 9" xfId="1440"/>
    <cellStyle name="40% - Accent2 4" xfId="84"/>
    <cellStyle name="40% - Accent2 4 2" xfId="284"/>
    <cellStyle name="40% - Accent2 4 2 2" xfId="548"/>
    <cellStyle name="40% - Accent2 4 2 2 2" xfId="930"/>
    <cellStyle name="40% - Accent2 4 2 2 2 2" xfId="2286"/>
    <cellStyle name="40% - Accent2 4 2 2 3" xfId="1315"/>
    <cellStyle name="40% - Accent2 4 2 2 4" xfId="1906"/>
    <cellStyle name="40% - Accent2 4 2 3" xfId="660"/>
    <cellStyle name="40% - Accent2 4 2 3 2" xfId="2018"/>
    <cellStyle name="40% - Accent2 4 2 4" xfId="801"/>
    <cellStyle name="40% - Accent2 4 2 4 2" xfId="2159"/>
    <cellStyle name="40% - Accent2 4 2 5" xfId="412"/>
    <cellStyle name="40% - Accent2 4 2 5 2" xfId="1779"/>
    <cellStyle name="40% - Accent2 4 2 6" xfId="1171"/>
    <cellStyle name="40% - Accent2 4 2 7" xfId="1651"/>
    <cellStyle name="40% - Accent2 4 3" xfId="225"/>
    <cellStyle name="40% - Accent2 4 3 2" xfId="873"/>
    <cellStyle name="40% - Accent2 4 3 2 2" xfId="2230"/>
    <cellStyle name="40% - Accent2 4 3 3" xfId="485"/>
    <cellStyle name="40% - Accent2 4 3 3 2" xfId="1850"/>
    <cellStyle name="40% - Accent2 4 3 4" xfId="1115"/>
    <cellStyle name="40% - Accent2 4 3 5" xfId="1594"/>
    <cellStyle name="40% - Accent2 4 4" xfId="604"/>
    <cellStyle name="40% - Accent2 4 4 2" xfId="1244"/>
    <cellStyle name="40% - Accent2 4 4 3" xfId="1962"/>
    <cellStyle name="40% - Accent2 4 5" xfId="744"/>
    <cellStyle name="40% - Accent2 4 5 2" xfId="2102"/>
    <cellStyle name="40% - Accent2 4 6" xfId="355"/>
    <cellStyle name="40% - Accent2 4 6 2" xfId="1722"/>
    <cellStyle name="40% - Accent2 4 7" xfId="155"/>
    <cellStyle name="40% - Accent2 4 7 2" xfId="1524"/>
    <cellStyle name="40% - Accent2 4 8" xfId="1045"/>
    <cellStyle name="40% - Accent2 4 9" xfId="1454"/>
    <cellStyle name="40% - Accent2 5" xfId="98"/>
    <cellStyle name="40% - Accent2 5 2" xfId="241"/>
    <cellStyle name="40% - Accent2 5 2 2" xfId="886"/>
    <cellStyle name="40% - Accent2 5 2 2 2" xfId="2242"/>
    <cellStyle name="40% - Accent2 5 2 3" xfId="501"/>
    <cellStyle name="40% - Accent2 5 2 3 2" xfId="1862"/>
    <cellStyle name="40% - Accent2 5 2 4" xfId="1127"/>
    <cellStyle name="40% - Accent2 5 2 5" xfId="1608"/>
    <cellStyle name="40% - Accent2 5 3" xfId="674"/>
    <cellStyle name="40% - Accent2 5 3 2" xfId="1258"/>
    <cellStyle name="40% - Accent2 5 3 3" xfId="2032"/>
    <cellStyle name="40% - Accent2 5 4" xfId="758"/>
    <cellStyle name="40% - Accent2 5 4 2" xfId="2116"/>
    <cellStyle name="40% - Accent2 5 5" xfId="369"/>
    <cellStyle name="40% - Accent2 5 5 2" xfId="1736"/>
    <cellStyle name="40% - Accent2 5 6" xfId="169"/>
    <cellStyle name="40% - Accent2 5 6 2" xfId="1538"/>
    <cellStyle name="40% - Accent2 5 7" xfId="1059"/>
    <cellStyle name="40% - Accent2 5 8" xfId="1468"/>
    <cellStyle name="40% - Accent2 6" xfId="181"/>
    <cellStyle name="40% - Accent2 6 2" xfId="616"/>
    <cellStyle name="40% - Accent2 6 2 2" xfId="1271"/>
    <cellStyle name="40% - Accent2 6 2 3" xfId="1974"/>
    <cellStyle name="40% - Accent2 6 3" xfId="816"/>
    <cellStyle name="40% - Accent2 6 3 2" xfId="2174"/>
    <cellStyle name="40% - Accent2 6 4" xfId="427"/>
    <cellStyle name="40% - Accent2 6 4 2" xfId="1794"/>
    <cellStyle name="40% - Accent2 6 5" xfId="1071"/>
    <cellStyle name="40% - Accent2 6 6" xfId="1550"/>
    <cellStyle name="40% - Accent2 7" xfId="299"/>
    <cellStyle name="40% - Accent2 7 2" xfId="688"/>
    <cellStyle name="40% - Accent2 7 2 2" xfId="1329"/>
    <cellStyle name="40% - Accent2 7 2 3" xfId="2046"/>
    <cellStyle name="40% - Accent2 7 3" xfId="829"/>
    <cellStyle name="40% - Accent2 7 3 2" xfId="2186"/>
    <cellStyle name="40% - Accent2 7 4" xfId="441"/>
    <cellStyle name="40% - Accent2 7 4 2" xfId="1806"/>
    <cellStyle name="40% - Accent2 7 5" xfId="1185"/>
    <cellStyle name="40% - Accent2 7 6" xfId="1666"/>
    <cellStyle name="40% - Accent2 8" xfId="560"/>
    <cellStyle name="40% - Accent2 8 2" xfId="1199"/>
    <cellStyle name="40% - Accent2 8 3" xfId="1918"/>
    <cellStyle name="40% - Accent2 9" xfId="700"/>
    <cellStyle name="40% - Accent2 9 2" xfId="1343"/>
    <cellStyle name="40% - Accent2 9 3" xfId="2058"/>
    <cellStyle name="40% - Accent3" xfId="28" builtinId="39" customBuiltin="1"/>
    <cellStyle name="40% - Accent3 10" xfId="313"/>
    <cellStyle name="40% - Accent3 10 2" xfId="1359"/>
    <cellStyle name="40% - Accent3 10 3" xfId="1680"/>
    <cellStyle name="40% - Accent3 11" xfId="113"/>
    <cellStyle name="40% - Accent3 11 2" xfId="1372"/>
    <cellStyle name="40% - Accent3 11 3" xfId="1482"/>
    <cellStyle name="40% - Accent3 12" xfId="946"/>
    <cellStyle name="40% - Accent3 12 2" xfId="1385"/>
    <cellStyle name="40% - Accent3 12 3" xfId="2302"/>
    <cellStyle name="40% - Accent3 13" xfId="960"/>
    <cellStyle name="40% - Accent3 13 2" xfId="1399"/>
    <cellStyle name="40% - Accent3 13 3" xfId="2316"/>
    <cellStyle name="40% - Accent3 14" xfId="974"/>
    <cellStyle name="40% - Accent3 14 2" xfId="2330"/>
    <cellStyle name="40% - Accent3 15" xfId="990"/>
    <cellStyle name="40% - Accent3 16" xfId="1003"/>
    <cellStyle name="40% - Accent3 17" xfId="1412"/>
    <cellStyle name="40% - Accent3 2" xfId="54"/>
    <cellStyle name="40% - Accent3 2 2" xfId="259"/>
    <cellStyle name="40% - Accent3 2 2 2" xfId="522"/>
    <cellStyle name="40% - Accent3 2 2 2 2" xfId="904"/>
    <cellStyle name="40% - Accent3 2 2 2 2 2" xfId="2260"/>
    <cellStyle name="40% - Accent3 2 2 2 3" xfId="1289"/>
    <cellStyle name="40% - Accent3 2 2 2 4" xfId="1880"/>
    <cellStyle name="40% - Accent3 2 2 3" xfId="634"/>
    <cellStyle name="40% - Accent3 2 2 3 2" xfId="1992"/>
    <cellStyle name="40% - Accent3 2 2 4" xfId="776"/>
    <cellStyle name="40% - Accent3 2 2 4 2" xfId="2134"/>
    <cellStyle name="40% - Accent3 2 2 5" xfId="387"/>
    <cellStyle name="40% - Accent3 2 2 5 2" xfId="1754"/>
    <cellStyle name="40% - Accent3 2 2 6" xfId="1145"/>
    <cellStyle name="40% - Accent3 2 2 7" xfId="1626"/>
    <cellStyle name="40% - Accent3 2 3" xfId="199"/>
    <cellStyle name="40% - Accent3 2 3 2" xfId="847"/>
    <cellStyle name="40% - Accent3 2 3 2 2" xfId="2204"/>
    <cellStyle name="40% - Accent3 2 3 3" xfId="459"/>
    <cellStyle name="40% - Accent3 2 3 3 2" xfId="1824"/>
    <cellStyle name="40% - Accent3 2 3 4" xfId="1089"/>
    <cellStyle name="40% - Accent3 2 3 5" xfId="1568"/>
    <cellStyle name="40% - Accent3 2 4" xfId="578"/>
    <cellStyle name="40% - Accent3 2 4 2" xfId="1218"/>
    <cellStyle name="40% - Accent3 2 4 3" xfId="1936"/>
    <cellStyle name="40% - Accent3 2 5" xfId="718"/>
    <cellStyle name="40% - Accent3 2 5 2" xfId="2076"/>
    <cellStyle name="40% - Accent3 2 6" xfId="329"/>
    <cellStyle name="40% - Accent3 2 6 2" xfId="1696"/>
    <cellStyle name="40% - Accent3 2 7" xfId="129"/>
    <cellStyle name="40% - Accent3 2 7 2" xfId="1498"/>
    <cellStyle name="40% - Accent3 2 8" xfId="1019"/>
    <cellStyle name="40% - Accent3 2 9" xfId="1428"/>
    <cellStyle name="40% - Accent3 3" xfId="72"/>
    <cellStyle name="40% - Accent3 3 2" xfId="273"/>
    <cellStyle name="40% - Accent3 3 2 2" xfId="536"/>
    <cellStyle name="40% - Accent3 3 2 2 2" xfId="918"/>
    <cellStyle name="40% - Accent3 3 2 2 2 2" xfId="2274"/>
    <cellStyle name="40% - Accent3 3 2 2 3" xfId="1303"/>
    <cellStyle name="40% - Accent3 3 2 2 4" xfId="1894"/>
    <cellStyle name="40% - Accent3 3 2 3" xfId="648"/>
    <cellStyle name="40% - Accent3 3 2 3 2" xfId="2006"/>
    <cellStyle name="40% - Accent3 3 2 4" xfId="790"/>
    <cellStyle name="40% - Accent3 3 2 4 2" xfId="2148"/>
    <cellStyle name="40% - Accent3 3 2 5" xfId="401"/>
    <cellStyle name="40% - Accent3 3 2 5 2" xfId="1768"/>
    <cellStyle name="40% - Accent3 3 2 6" xfId="1159"/>
    <cellStyle name="40% - Accent3 3 2 7" xfId="1640"/>
    <cellStyle name="40% - Accent3 3 3" xfId="213"/>
    <cellStyle name="40% - Accent3 3 3 2" xfId="861"/>
    <cellStyle name="40% - Accent3 3 3 2 2" xfId="2218"/>
    <cellStyle name="40% - Accent3 3 3 3" xfId="473"/>
    <cellStyle name="40% - Accent3 3 3 3 2" xfId="1838"/>
    <cellStyle name="40% - Accent3 3 3 4" xfId="1103"/>
    <cellStyle name="40% - Accent3 3 3 5" xfId="1582"/>
    <cellStyle name="40% - Accent3 3 4" xfId="592"/>
    <cellStyle name="40% - Accent3 3 4 2" xfId="1232"/>
    <cellStyle name="40% - Accent3 3 4 3" xfId="1950"/>
    <cellStyle name="40% - Accent3 3 5" xfId="732"/>
    <cellStyle name="40% - Accent3 3 5 2" xfId="2090"/>
    <cellStyle name="40% - Accent3 3 6" xfId="343"/>
    <cellStyle name="40% - Accent3 3 6 2" xfId="1710"/>
    <cellStyle name="40% - Accent3 3 7" xfId="143"/>
    <cellStyle name="40% - Accent3 3 7 2" xfId="1512"/>
    <cellStyle name="40% - Accent3 3 8" xfId="1033"/>
    <cellStyle name="40% - Accent3 3 9" xfId="1442"/>
    <cellStyle name="40% - Accent3 4" xfId="86"/>
    <cellStyle name="40% - Accent3 4 2" xfId="286"/>
    <cellStyle name="40% - Accent3 4 2 2" xfId="550"/>
    <cellStyle name="40% - Accent3 4 2 2 2" xfId="932"/>
    <cellStyle name="40% - Accent3 4 2 2 2 2" xfId="2288"/>
    <cellStyle name="40% - Accent3 4 2 2 3" xfId="1317"/>
    <cellStyle name="40% - Accent3 4 2 2 4" xfId="1908"/>
    <cellStyle name="40% - Accent3 4 2 3" xfId="662"/>
    <cellStyle name="40% - Accent3 4 2 3 2" xfId="2020"/>
    <cellStyle name="40% - Accent3 4 2 4" xfId="803"/>
    <cellStyle name="40% - Accent3 4 2 4 2" xfId="2161"/>
    <cellStyle name="40% - Accent3 4 2 5" xfId="414"/>
    <cellStyle name="40% - Accent3 4 2 5 2" xfId="1781"/>
    <cellStyle name="40% - Accent3 4 2 6" xfId="1173"/>
    <cellStyle name="40% - Accent3 4 2 7" xfId="1653"/>
    <cellStyle name="40% - Accent3 4 3" xfId="227"/>
    <cellStyle name="40% - Accent3 4 3 2" xfId="875"/>
    <cellStyle name="40% - Accent3 4 3 2 2" xfId="2232"/>
    <cellStyle name="40% - Accent3 4 3 3" xfId="487"/>
    <cellStyle name="40% - Accent3 4 3 3 2" xfId="1852"/>
    <cellStyle name="40% - Accent3 4 3 4" xfId="1117"/>
    <cellStyle name="40% - Accent3 4 3 5" xfId="1596"/>
    <cellStyle name="40% - Accent3 4 4" xfId="606"/>
    <cellStyle name="40% - Accent3 4 4 2" xfId="1246"/>
    <cellStyle name="40% - Accent3 4 4 3" xfId="1964"/>
    <cellStyle name="40% - Accent3 4 5" xfId="746"/>
    <cellStyle name="40% - Accent3 4 5 2" xfId="2104"/>
    <cellStyle name="40% - Accent3 4 6" xfId="357"/>
    <cellStyle name="40% - Accent3 4 6 2" xfId="1724"/>
    <cellStyle name="40% - Accent3 4 7" xfId="157"/>
    <cellStyle name="40% - Accent3 4 7 2" xfId="1526"/>
    <cellStyle name="40% - Accent3 4 8" xfId="1047"/>
    <cellStyle name="40% - Accent3 4 9" xfId="1456"/>
    <cellStyle name="40% - Accent3 5" xfId="100"/>
    <cellStyle name="40% - Accent3 5 2" xfId="243"/>
    <cellStyle name="40% - Accent3 5 2 2" xfId="888"/>
    <cellStyle name="40% - Accent3 5 2 2 2" xfId="2244"/>
    <cellStyle name="40% - Accent3 5 2 3" xfId="503"/>
    <cellStyle name="40% - Accent3 5 2 3 2" xfId="1864"/>
    <cellStyle name="40% - Accent3 5 2 4" xfId="1129"/>
    <cellStyle name="40% - Accent3 5 2 5" xfId="1610"/>
    <cellStyle name="40% - Accent3 5 3" xfId="676"/>
    <cellStyle name="40% - Accent3 5 3 2" xfId="1260"/>
    <cellStyle name="40% - Accent3 5 3 3" xfId="2034"/>
    <cellStyle name="40% - Accent3 5 4" xfId="760"/>
    <cellStyle name="40% - Accent3 5 4 2" xfId="2118"/>
    <cellStyle name="40% - Accent3 5 5" xfId="371"/>
    <cellStyle name="40% - Accent3 5 5 2" xfId="1738"/>
    <cellStyle name="40% - Accent3 5 6" xfId="171"/>
    <cellStyle name="40% - Accent3 5 6 2" xfId="1540"/>
    <cellStyle name="40% - Accent3 5 7" xfId="1061"/>
    <cellStyle name="40% - Accent3 5 8" xfId="1470"/>
    <cellStyle name="40% - Accent3 6" xfId="183"/>
    <cellStyle name="40% - Accent3 6 2" xfId="618"/>
    <cellStyle name="40% - Accent3 6 2 2" xfId="1273"/>
    <cellStyle name="40% - Accent3 6 2 3" xfId="1976"/>
    <cellStyle name="40% - Accent3 6 3" xfId="818"/>
    <cellStyle name="40% - Accent3 6 3 2" xfId="2176"/>
    <cellStyle name="40% - Accent3 6 4" xfId="429"/>
    <cellStyle name="40% - Accent3 6 4 2" xfId="1796"/>
    <cellStyle name="40% - Accent3 6 5" xfId="1073"/>
    <cellStyle name="40% - Accent3 6 6" xfId="1552"/>
    <cellStyle name="40% - Accent3 7" xfId="301"/>
    <cellStyle name="40% - Accent3 7 2" xfId="690"/>
    <cellStyle name="40% - Accent3 7 2 2" xfId="1331"/>
    <cellStyle name="40% - Accent3 7 2 3" xfId="2048"/>
    <cellStyle name="40% - Accent3 7 3" xfId="831"/>
    <cellStyle name="40% - Accent3 7 3 2" xfId="2188"/>
    <cellStyle name="40% - Accent3 7 4" xfId="443"/>
    <cellStyle name="40% - Accent3 7 4 2" xfId="1808"/>
    <cellStyle name="40% - Accent3 7 5" xfId="1187"/>
    <cellStyle name="40% - Accent3 7 6" xfId="1668"/>
    <cellStyle name="40% - Accent3 8" xfId="562"/>
    <cellStyle name="40% - Accent3 8 2" xfId="1201"/>
    <cellStyle name="40% - Accent3 8 3" xfId="1920"/>
    <cellStyle name="40% - Accent3 9" xfId="702"/>
    <cellStyle name="40% - Accent3 9 2" xfId="1345"/>
    <cellStyle name="40% - Accent3 9 3" xfId="2060"/>
    <cellStyle name="40% - Accent4" xfId="32" builtinId="43" customBuiltin="1"/>
    <cellStyle name="40% - Accent4 10" xfId="315"/>
    <cellStyle name="40% - Accent4 10 2" xfId="1361"/>
    <cellStyle name="40% - Accent4 10 3" xfId="1682"/>
    <cellStyle name="40% - Accent4 11" xfId="115"/>
    <cellStyle name="40% - Accent4 11 2" xfId="1374"/>
    <cellStyle name="40% - Accent4 11 3" xfId="1484"/>
    <cellStyle name="40% - Accent4 12" xfId="948"/>
    <cellStyle name="40% - Accent4 12 2" xfId="1387"/>
    <cellStyle name="40% - Accent4 12 3" xfId="2304"/>
    <cellStyle name="40% - Accent4 13" xfId="962"/>
    <cellStyle name="40% - Accent4 13 2" xfId="1401"/>
    <cellStyle name="40% - Accent4 13 3" xfId="2318"/>
    <cellStyle name="40% - Accent4 14" xfId="976"/>
    <cellStyle name="40% - Accent4 14 2" xfId="2332"/>
    <cellStyle name="40% - Accent4 15" xfId="992"/>
    <cellStyle name="40% - Accent4 16" xfId="1005"/>
    <cellStyle name="40% - Accent4 17" xfId="1414"/>
    <cellStyle name="40% - Accent4 2" xfId="56"/>
    <cellStyle name="40% - Accent4 2 2" xfId="261"/>
    <cellStyle name="40% - Accent4 2 2 2" xfId="524"/>
    <cellStyle name="40% - Accent4 2 2 2 2" xfId="906"/>
    <cellStyle name="40% - Accent4 2 2 2 2 2" xfId="2262"/>
    <cellStyle name="40% - Accent4 2 2 2 3" xfId="1291"/>
    <cellStyle name="40% - Accent4 2 2 2 4" xfId="1882"/>
    <cellStyle name="40% - Accent4 2 2 3" xfId="636"/>
    <cellStyle name="40% - Accent4 2 2 3 2" xfId="1994"/>
    <cellStyle name="40% - Accent4 2 2 4" xfId="778"/>
    <cellStyle name="40% - Accent4 2 2 4 2" xfId="2136"/>
    <cellStyle name="40% - Accent4 2 2 5" xfId="389"/>
    <cellStyle name="40% - Accent4 2 2 5 2" xfId="1756"/>
    <cellStyle name="40% - Accent4 2 2 6" xfId="1147"/>
    <cellStyle name="40% - Accent4 2 2 7" xfId="1628"/>
    <cellStyle name="40% - Accent4 2 3" xfId="201"/>
    <cellStyle name="40% - Accent4 2 3 2" xfId="849"/>
    <cellStyle name="40% - Accent4 2 3 2 2" xfId="2206"/>
    <cellStyle name="40% - Accent4 2 3 3" xfId="461"/>
    <cellStyle name="40% - Accent4 2 3 3 2" xfId="1826"/>
    <cellStyle name="40% - Accent4 2 3 4" xfId="1091"/>
    <cellStyle name="40% - Accent4 2 3 5" xfId="1570"/>
    <cellStyle name="40% - Accent4 2 4" xfId="580"/>
    <cellStyle name="40% - Accent4 2 4 2" xfId="1220"/>
    <cellStyle name="40% - Accent4 2 4 3" xfId="1938"/>
    <cellStyle name="40% - Accent4 2 5" xfId="720"/>
    <cellStyle name="40% - Accent4 2 5 2" xfId="2078"/>
    <cellStyle name="40% - Accent4 2 6" xfId="331"/>
    <cellStyle name="40% - Accent4 2 6 2" xfId="1698"/>
    <cellStyle name="40% - Accent4 2 7" xfId="131"/>
    <cellStyle name="40% - Accent4 2 7 2" xfId="1500"/>
    <cellStyle name="40% - Accent4 2 8" xfId="1021"/>
    <cellStyle name="40% - Accent4 2 9" xfId="1430"/>
    <cellStyle name="40% - Accent4 3" xfId="74"/>
    <cellStyle name="40% - Accent4 3 2" xfId="275"/>
    <cellStyle name="40% - Accent4 3 2 2" xfId="538"/>
    <cellStyle name="40% - Accent4 3 2 2 2" xfId="920"/>
    <cellStyle name="40% - Accent4 3 2 2 2 2" xfId="2276"/>
    <cellStyle name="40% - Accent4 3 2 2 3" xfId="1305"/>
    <cellStyle name="40% - Accent4 3 2 2 4" xfId="1896"/>
    <cellStyle name="40% - Accent4 3 2 3" xfId="650"/>
    <cellStyle name="40% - Accent4 3 2 3 2" xfId="2008"/>
    <cellStyle name="40% - Accent4 3 2 4" xfId="792"/>
    <cellStyle name="40% - Accent4 3 2 4 2" xfId="2150"/>
    <cellStyle name="40% - Accent4 3 2 5" xfId="403"/>
    <cellStyle name="40% - Accent4 3 2 5 2" xfId="1770"/>
    <cellStyle name="40% - Accent4 3 2 6" xfId="1161"/>
    <cellStyle name="40% - Accent4 3 2 7" xfId="1642"/>
    <cellStyle name="40% - Accent4 3 3" xfId="215"/>
    <cellStyle name="40% - Accent4 3 3 2" xfId="863"/>
    <cellStyle name="40% - Accent4 3 3 2 2" xfId="2220"/>
    <cellStyle name="40% - Accent4 3 3 3" xfId="475"/>
    <cellStyle name="40% - Accent4 3 3 3 2" xfId="1840"/>
    <cellStyle name="40% - Accent4 3 3 4" xfId="1105"/>
    <cellStyle name="40% - Accent4 3 3 5" xfId="1584"/>
    <cellStyle name="40% - Accent4 3 4" xfId="594"/>
    <cellStyle name="40% - Accent4 3 4 2" xfId="1234"/>
    <cellStyle name="40% - Accent4 3 4 3" xfId="1952"/>
    <cellStyle name="40% - Accent4 3 5" xfId="734"/>
    <cellStyle name="40% - Accent4 3 5 2" xfId="2092"/>
    <cellStyle name="40% - Accent4 3 6" xfId="345"/>
    <cellStyle name="40% - Accent4 3 6 2" xfId="1712"/>
    <cellStyle name="40% - Accent4 3 7" xfId="145"/>
    <cellStyle name="40% - Accent4 3 7 2" xfId="1514"/>
    <cellStyle name="40% - Accent4 3 8" xfId="1035"/>
    <cellStyle name="40% - Accent4 3 9" xfId="1444"/>
    <cellStyle name="40% - Accent4 4" xfId="88"/>
    <cellStyle name="40% - Accent4 4 2" xfId="288"/>
    <cellStyle name="40% - Accent4 4 2 2" xfId="552"/>
    <cellStyle name="40% - Accent4 4 2 2 2" xfId="934"/>
    <cellStyle name="40% - Accent4 4 2 2 2 2" xfId="2290"/>
    <cellStyle name="40% - Accent4 4 2 2 3" xfId="1319"/>
    <cellStyle name="40% - Accent4 4 2 2 4" xfId="1910"/>
    <cellStyle name="40% - Accent4 4 2 3" xfId="664"/>
    <cellStyle name="40% - Accent4 4 2 3 2" xfId="2022"/>
    <cellStyle name="40% - Accent4 4 2 4" xfId="805"/>
    <cellStyle name="40% - Accent4 4 2 4 2" xfId="2163"/>
    <cellStyle name="40% - Accent4 4 2 5" xfId="416"/>
    <cellStyle name="40% - Accent4 4 2 5 2" xfId="1783"/>
    <cellStyle name="40% - Accent4 4 2 6" xfId="1175"/>
    <cellStyle name="40% - Accent4 4 2 7" xfId="1655"/>
    <cellStyle name="40% - Accent4 4 3" xfId="229"/>
    <cellStyle name="40% - Accent4 4 3 2" xfId="877"/>
    <cellStyle name="40% - Accent4 4 3 2 2" xfId="2234"/>
    <cellStyle name="40% - Accent4 4 3 3" xfId="489"/>
    <cellStyle name="40% - Accent4 4 3 3 2" xfId="1854"/>
    <cellStyle name="40% - Accent4 4 3 4" xfId="1119"/>
    <cellStyle name="40% - Accent4 4 3 5" xfId="1598"/>
    <cellStyle name="40% - Accent4 4 4" xfId="608"/>
    <cellStyle name="40% - Accent4 4 4 2" xfId="1248"/>
    <cellStyle name="40% - Accent4 4 4 3" xfId="1966"/>
    <cellStyle name="40% - Accent4 4 5" xfId="748"/>
    <cellStyle name="40% - Accent4 4 5 2" xfId="2106"/>
    <cellStyle name="40% - Accent4 4 6" xfId="359"/>
    <cellStyle name="40% - Accent4 4 6 2" xfId="1726"/>
    <cellStyle name="40% - Accent4 4 7" xfId="159"/>
    <cellStyle name="40% - Accent4 4 7 2" xfId="1528"/>
    <cellStyle name="40% - Accent4 4 8" xfId="1049"/>
    <cellStyle name="40% - Accent4 4 9" xfId="1458"/>
    <cellStyle name="40% - Accent4 5" xfId="102"/>
    <cellStyle name="40% - Accent4 5 2" xfId="245"/>
    <cellStyle name="40% - Accent4 5 2 2" xfId="890"/>
    <cellStyle name="40% - Accent4 5 2 2 2" xfId="2246"/>
    <cellStyle name="40% - Accent4 5 2 3" xfId="505"/>
    <cellStyle name="40% - Accent4 5 2 3 2" xfId="1866"/>
    <cellStyle name="40% - Accent4 5 2 4" xfId="1131"/>
    <cellStyle name="40% - Accent4 5 2 5" xfId="1612"/>
    <cellStyle name="40% - Accent4 5 3" xfId="678"/>
    <cellStyle name="40% - Accent4 5 3 2" xfId="1262"/>
    <cellStyle name="40% - Accent4 5 3 3" xfId="2036"/>
    <cellStyle name="40% - Accent4 5 4" xfId="762"/>
    <cellStyle name="40% - Accent4 5 4 2" xfId="2120"/>
    <cellStyle name="40% - Accent4 5 5" xfId="373"/>
    <cellStyle name="40% - Accent4 5 5 2" xfId="1740"/>
    <cellStyle name="40% - Accent4 5 6" xfId="173"/>
    <cellStyle name="40% - Accent4 5 6 2" xfId="1542"/>
    <cellStyle name="40% - Accent4 5 7" xfId="1063"/>
    <cellStyle name="40% - Accent4 5 8" xfId="1472"/>
    <cellStyle name="40% - Accent4 6" xfId="185"/>
    <cellStyle name="40% - Accent4 6 2" xfId="620"/>
    <cellStyle name="40% - Accent4 6 2 2" xfId="1275"/>
    <cellStyle name="40% - Accent4 6 2 3" xfId="1978"/>
    <cellStyle name="40% - Accent4 6 3" xfId="820"/>
    <cellStyle name="40% - Accent4 6 3 2" xfId="2178"/>
    <cellStyle name="40% - Accent4 6 4" xfId="431"/>
    <cellStyle name="40% - Accent4 6 4 2" xfId="1798"/>
    <cellStyle name="40% - Accent4 6 5" xfId="1075"/>
    <cellStyle name="40% - Accent4 6 6" xfId="1554"/>
    <cellStyle name="40% - Accent4 7" xfId="303"/>
    <cellStyle name="40% - Accent4 7 2" xfId="692"/>
    <cellStyle name="40% - Accent4 7 2 2" xfId="1333"/>
    <cellStyle name="40% - Accent4 7 2 3" xfId="2050"/>
    <cellStyle name="40% - Accent4 7 3" xfId="833"/>
    <cellStyle name="40% - Accent4 7 3 2" xfId="2190"/>
    <cellStyle name="40% - Accent4 7 4" xfId="445"/>
    <cellStyle name="40% - Accent4 7 4 2" xfId="1810"/>
    <cellStyle name="40% - Accent4 7 5" xfId="1189"/>
    <cellStyle name="40% - Accent4 7 6" xfId="1670"/>
    <cellStyle name="40% - Accent4 8" xfId="564"/>
    <cellStyle name="40% - Accent4 8 2" xfId="1203"/>
    <cellStyle name="40% - Accent4 8 3" xfId="1922"/>
    <cellStyle name="40% - Accent4 9" xfId="704"/>
    <cellStyle name="40% - Accent4 9 2" xfId="1347"/>
    <cellStyle name="40% - Accent4 9 3" xfId="2062"/>
    <cellStyle name="40% - Accent5" xfId="36" builtinId="47" customBuiltin="1"/>
    <cellStyle name="40% - Accent5 10" xfId="317"/>
    <cellStyle name="40% - Accent5 10 2" xfId="1363"/>
    <cellStyle name="40% - Accent5 10 3" xfId="1684"/>
    <cellStyle name="40% - Accent5 11" xfId="117"/>
    <cellStyle name="40% - Accent5 11 2" xfId="1376"/>
    <cellStyle name="40% - Accent5 11 3" xfId="1486"/>
    <cellStyle name="40% - Accent5 12" xfId="950"/>
    <cellStyle name="40% - Accent5 12 2" xfId="1389"/>
    <cellStyle name="40% - Accent5 12 3" xfId="2306"/>
    <cellStyle name="40% - Accent5 13" xfId="964"/>
    <cellStyle name="40% - Accent5 13 2" xfId="1403"/>
    <cellStyle name="40% - Accent5 13 3" xfId="2320"/>
    <cellStyle name="40% - Accent5 14" xfId="978"/>
    <cellStyle name="40% - Accent5 14 2" xfId="2334"/>
    <cellStyle name="40% - Accent5 15" xfId="994"/>
    <cellStyle name="40% - Accent5 16" xfId="1007"/>
    <cellStyle name="40% - Accent5 17" xfId="1416"/>
    <cellStyle name="40% - Accent5 2" xfId="58"/>
    <cellStyle name="40% - Accent5 2 2" xfId="263"/>
    <cellStyle name="40% - Accent5 2 2 2" xfId="526"/>
    <cellStyle name="40% - Accent5 2 2 2 2" xfId="908"/>
    <cellStyle name="40% - Accent5 2 2 2 2 2" xfId="2264"/>
    <cellStyle name="40% - Accent5 2 2 2 3" xfId="1293"/>
    <cellStyle name="40% - Accent5 2 2 2 4" xfId="1884"/>
    <cellStyle name="40% - Accent5 2 2 3" xfId="638"/>
    <cellStyle name="40% - Accent5 2 2 3 2" xfId="1996"/>
    <cellStyle name="40% - Accent5 2 2 4" xfId="780"/>
    <cellStyle name="40% - Accent5 2 2 4 2" xfId="2138"/>
    <cellStyle name="40% - Accent5 2 2 5" xfId="391"/>
    <cellStyle name="40% - Accent5 2 2 5 2" xfId="1758"/>
    <cellStyle name="40% - Accent5 2 2 6" xfId="1149"/>
    <cellStyle name="40% - Accent5 2 2 7" xfId="1630"/>
    <cellStyle name="40% - Accent5 2 3" xfId="203"/>
    <cellStyle name="40% - Accent5 2 3 2" xfId="851"/>
    <cellStyle name="40% - Accent5 2 3 2 2" xfId="2208"/>
    <cellStyle name="40% - Accent5 2 3 3" xfId="463"/>
    <cellStyle name="40% - Accent5 2 3 3 2" xfId="1828"/>
    <cellStyle name="40% - Accent5 2 3 4" xfId="1093"/>
    <cellStyle name="40% - Accent5 2 3 5" xfId="1572"/>
    <cellStyle name="40% - Accent5 2 4" xfId="582"/>
    <cellStyle name="40% - Accent5 2 4 2" xfId="1222"/>
    <cellStyle name="40% - Accent5 2 4 3" xfId="1940"/>
    <cellStyle name="40% - Accent5 2 5" xfId="722"/>
    <cellStyle name="40% - Accent5 2 5 2" xfId="2080"/>
    <cellStyle name="40% - Accent5 2 6" xfId="333"/>
    <cellStyle name="40% - Accent5 2 6 2" xfId="1700"/>
    <cellStyle name="40% - Accent5 2 7" xfId="133"/>
    <cellStyle name="40% - Accent5 2 7 2" xfId="1502"/>
    <cellStyle name="40% - Accent5 2 8" xfId="1023"/>
    <cellStyle name="40% - Accent5 2 9" xfId="1432"/>
    <cellStyle name="40% - Accent5 3" xfId="76"/>
    <cellStyle name="40% - Accent5 3 2" xfId="277"/>
    <cellStyle name="40% - Accent5 3 2 2" xfId="540"/>
    <cellStyle name="40% - Accent5 3 2 2 2" xfId="922"/>
    <cellStyle name="40% - Accent5 3 2 2 2 2" xfId="2278"/>
    <cellStyle name="40% - Accent5 3 2 2 3" xfId="1307"/>
    <cellStyle name="40% - Accent5 3 2 2 4" xfId="1898"/>
    <cellStyle name="40% - Accent5 3 2 3" xfId="652"/>
    <cellStyle name="40% - Accent5 3 2 3 2" xfId="2010"/>
    <cellStyle name="40% - Accent5 3 2 4" xfId="794"/>
    <cellStyle name="40% - Accent5 3 2 4 2" xfId="2152"/>
    <cellStyle name="40% - Accent5 3 2 5" xfId="405"/>
    <cellStyle name="40% - Accent5 3 2 5 2" xfId="1772"/>
    <cellStyle name="40% - Accent5 3 2 6" xfId="1163"/>
    <cellStyle name="40% - Accent5 3 2 7" xfId="1644"/>
    <cellStyle name="40% - Accent5 3 3" xfId="217"/>
    <cellStyle name="40% - Accent5 3 3 2" xfId="865"/>
    <cellStyle name="40% - Accent5 3 3 2 2" xfId="2222"/>
    <cellStyle name="40% - Accent5 3 3 3" xfId="477"/>
    <cellStyle name="40% - Accent5 3 3 3 2" xfId="1842"/>
    <cellStyle name="40% - Accent5 3 3 4" xfId="1107"/>
    <cellStyle name="40% - Accent5 3 3 5" xfId="1586"/>
    <cellStyle name="40% - Accent5 3 4" xfId="596"/>
    <cellStyle name="40% - Accent5 3 4 2" xfId="1236"/>
    <cellStyle name="40% - Accent5 3 4 3" xfId="1954"/>
    <cellStyle name="40% - Accent5 3 5" xfId="736"/>
    <cellStyle name="40% - Accent5 3 5 2" xfId="2094"/>
    <cellStyle name="40% - Accent5 3 6" xfId="347"/>
    <cellStyle name="40% - Accent5 3 6 2" xfId="1714"/>
    <cellStyle name="40% - Accent5 3 7" xfId="147"/>
    <cellStyle name="40% - Accent5 3 7 2" xfId="1516"/>
    <cellStyle name="40% - Accent5 3 8" xfId="1037"/>
    <cellStyle name="40% - Accent5 3 9" xfId="1446"/>
    <cellStyle name="40% - Accent5 4" xfId="90"/>
    <cellStyle name="40% - Accent5 4 2" xfId="290"/>
    <cellStyle name="40% - Accent5 4 2 2" xfId="554"/>
    <cellStyle name="40% - Accent5 4 2 2 2" xfId="936"/>
    <cellStyle name="40% - Accent5 4 2 2 2 2" xfId="2292"/>
    <cellStyle name="40% - Accent5 4 2 2 3" xfId="1321"/>
    <cellStyle name="40% - Accent5 4 2 2 4" xfId="1912"/>
    <cellStyle name="40% - Accent5 4 2 3" xfId="666"/>
    <cellStyle name="40% - Accent5 4 2 3 2" xfId="2024"/>
    <cellStyle name="40% - Accent5 4 2 4" xfId="807"/>
    <cellStyle name="40% - Accent5 4 2 4 2" xfId="2165"/>
    <cellStyle name="40% - Accent5 4 2 5" xfId="418"/>
    <cellStyle name="40% - Accent5 4 2 5 2" xfId="1785"/>
    <cellStyle name="40% - Accent5 4 2 6" xfId="1177"/>
    <cellStyle name="40% - Accent5 4 2 7" xfId="1657"/>
    <cellStyle name="40% - Accent5 4 3" xfId="231"/>
    <cellStyle name="40% - Accent5 4 3 2" xfId="879"/>
    <cellStyle name="40% - Accent5 4 3 2 2" xfId="2236"/>
    <cellStyle name="40% - Accent5 4 3 3" xfId="491"/>
    <cellStyle name="40% - Accent5 4 3 3 2" xfId="1856"/>
    <cellStyle name="40% - Accent5 4 3 4" xfId="1121"/>
    <cellStyle name="40% - Accent5 4 3 5" xfId="1600"/>
    <cellStyle name="40% - Accent5 4 4" xfId="610"/>
    <cellStyle name="40% - Accent5 4 4 2" xfId="1250"/>
    <cellStyle name="40% - Accent5 4 4 3" xfId="1968"/>
    <cellStyle name="40% - Accent5 4 5" xfId="750"/>
    <cellStyle name="40% - Accent5 4 5 2" xfId="2108"/>
    <cellStyle name="40% - Accent5 4 6" xfId="361"/>
    <cellStyle name="40% - Accent5 4 6 2" xfId="1728"/>
    <cellStyle name="40% - Accent5 4 7" xfId="161"/>
    <cellStyle name="40% - Accent5 4 7 2" xfId="1530"/>
    <cellStyle name="40% - Accent5 4 8" xfId="1051"/>
    <cellStyle name="40% - Accent5 4 9" xfId="1460"/>
    <cellStyle name="40% - Accent5 5" xfId="104"/>
    <cellStyle name="40% - Accent5 5 2" xfId="247"/>
    <cellStyle name="40% - Accent5 5 2 2" xfId="892"/>
    <cellStyle name="40% - Accent5 5 2 2 2" xfId="2248"/>
    <cellStyle name="40% - Accent5 5 2 3" xfId="507"/>
    <cellStyle name="40% - Accent5 5 2 3 2" xfId="1868"/>
    <cellStyle name="40% - Accent5 5 2 4" xfId="1133"/>
    <cellStyle name="40% - Accent5 5 2 5" xfId="1614"/>
    <cellStyle name="40% - Accent5 5 3" xfId="680"/>
    <cellStyle name="40% - Accent5 5 3 2" xfId="1264"/>
    <cellStyle name="40% - Accent5 5 3 3" xfId="2038"/>
    <cellStyle name="40% - Accent5 5 4" xfId="764"/>
    <cellStyle name="40% - Accent5 5 4 2" xfId="2122"/>
    <cellStyle name="40% - Accent5 5 5" xfId="375"/>
    <cellStyle name="40% - Accent5 5 5 2" xfId="1742"/>
    <cellStyle name="40% - Accent5 5 6" xfId="175"/>
    <cellStyle name="40% - Accent5 5 6 2" xfId="1544"/>
    <cellStyle name="40% - Accent5 5 7" xfId="1065"/>
    <cellStyle name="40% - Accent5 5 8" xfId="1474"/>
    <cellStyle name="40% - Accent5 6" xfId="187"/>
    <cellStyle name="40% - Accent5 6 2" xfId="622"/>
    <cellStyle name="40% - Accent5 6 2 2" xfId="1277"/>
    <cellStyle name="40% - Accent5 6 2 3" xfId="1980"/>
    <cellStyle name="40% - Accent5 6 3" xfId="822"/>
    <cellStyle name="40% - Accent5 6 3 2" xfId="2180"/>
    <cellStyle name="40% - Accent5 6 4" xfId="433"/>
    <cellStyle name="40% - Accent5 6 4 2" xfId="1800"/>
    <cellStyle name="40% - Accent5 6 5" xfId="1077"/>
    <cellStyle name="40% - Accent5 6 6" xfId="1556"/>
    <cellStyle name="40% - Accent5 7" xfId="305"/>
    <cellStyle name="40% - Accent5 7 2" xfId="694"/>
    <cellStyle name="40% - Accent5 7 2 2" xfId="1335"/>
    <cellStyle name="40% - Accent5 7 2 3" xfId="2052"/>
    <cellStyle name="40% - Accent5 7 3" xfId="835"/>
    <cellStyle name="40% - Accent5 7 3 2" xfId="2192"/>
    <cellStyle name="40% - Accent5 7 4" xfId="447"/>
    <cellStyle name="40% - Accent5 7 4 2" xfId="1812"/>
    <cellStyle name="40% - Accent5 7 5" xfId="1191"/>
    <cellStyle name="40% - Accent5 7 6" xfId="1672"/>
    <cellStyle name="40% - Accent5 8" xfId="566"/>
    <cellStyle name="40% - Accent5 8 2" xfId="1205"/>
    <cellStyle name="40% - Accent5 8 3" xfId="1924"/>
    <cellStyle name="40% - Accent5 9" xfId="706"/>
    <cellStyle name="40% - Accent5 9 2" xfId="1349"/>
    <cellStyle name="40% - Accent5 9 3" xfId="2064"/>
    <cellStyle name="40% - Accent6" xfId="40" builtinId="51" customBuiltin="1"/>
    <cellStyle name="40% - Accent6 10" xfId="319"/>
    <cellStyle name="40% - Accent6 10 2" xfId="1365"/>
    <cellStyle name="40% - Accent6 10 3" xfId="1686"/>
    <cellStyle name="40% - Accent6 11" xfId="119"/>
    <cellStyle name="40% - Accent6 11 2" xfId="1378"/>
    <cellStyle name="40% - Accent6 11 3" xfId="1488"/>
    <cellStyle name="40% - Accent6 12" xfId="952"/>
    <cellStyle name="40% - Accent6 12 2" xfId="1391"/>
    <cellStyle name="40% - Accent6 12 3" xfId="2308"/>
    <cellStyle name="40% - Accent6 13" xfId="966"/>
    <cellStyle name="40% - Accent6 13 2" xfId="1405"/>
    <cellStyle name="40% - Accent6 13 3" xfId="2322"/>
    <cellStyle name="40% - Accent6 14" xfId="980"/>
    <cellStyle name="40% - Accent6 14 2" xfId="2336"/>
    <cellStyle name="40% - Accent6 15" xfId="996"/>
    <cellStyle name="40% - Accent6 16" xfId="1009"/>
    <cellStyle name="40% - Accent6 17" xfId="1418"/>
    <cellStyle name="40% - Accent6 2" xfId="60"/>
    <cellStyle name="40% - Accent6 2 2" xfId="265"/>
    <cellStyle name="40% - Accent6 2 2 2" xfId="528"/>
    <cellStyle name="40% - Accent6 2 2 2 2" xfId="910"/>
    <cellStyle name="40% - Accent6 2 2 2 2 2" xfId="2266"/>
    <cellStyle name="40% - Accent6 2 2 2 3" xfId="1295"/>
    <cellStyle name="40% - Accent6 2 2 2 4" xfId="1886"/>
    <cellStyle name="40% - Accent6 2 2 3" xfId="640"/>
    <cellStyle name="40% - Accent6 2 2 3 2" xfId="1998"/>
    <cellStyle name="40% - Accent6 2 2 4" xfId="782"/>
    <cellStyle name="40% - Accent6 2 2 4 2" xfId="2140"/>
    <cellStyle name="40% - Accent6 2 2 5" xfId="393"/>
    <cellStyle name="40% - Accent6 2 2 5 2" xfId="1760"/>
    <cellStyle name="40% - Accent6 2 2 6" xfId="1151"/>
    <cellStyle name="40% - Accent6 2 2 7" xfId="1632"/>
    <cellStyle name="40% - Accent6 2 3" xfId="205"/>
    <cellStyle name="40% - Accent6 2 3 2" xfId="853"/>
    <cellStyle name="40% - Accent6 2 3 2 2" xfId="2210"/>
    <cellStyle name="40% - Accent6 2 3 3" xfId="465"/>
    <cellStyle name="40% - Accent6 2 3 3 2" xfId="1830"/>
    <cellStyle name="40% - Accent6 2 3 4" xfId="1095"/>
    <cellStyle name="40% - Accent6 2 3 5" xfId="1574"/>
    <cellStyle name="40% - Accent6 2 4" xfId="584"/>
    <cellStyle name="40% - Accent6 2 4 2" xfId="1224"/>
    <cellStyle name="40% - Accent6 2 4 3" xfId="1942"/>
    <cellStyle name="40% - Accent6 2 5" xfId="724"/>
    <cellStyle name="40% - Accent6 2 5 2" xfId="2082"/>
    <cellStyle name="40% - Accent6 2 6" xfId="335"/>
    <cellStyle name="40% - Accent6 2 6 2" xfId="1702"/>
    <cellStyle name="40% - Accent6 2 7" xfId="135"/>
    <cellStyle name="40% - Accent6 2 7 2" xfId="1504"/>
    <cellStyle name="40% - Accent6 2 8" xfId="1025"/>
    <cellStyle name="40% - Accent6 2 9" xfId="1434"/>
    <cellStyle name="40% - Accent6 3" xfId="78"/>
    <cellStyle name="40% - Accent6 3 2" xfId="279"/>
    <cellStyle name="40% - Accent6 3 2 2" xfId="542"/>
    <cellStyle name="40% - Accent6 3 2 2 2" xfId="924"/>
    <cellStyle name="40% - Accent6 3 2 2 2 2" xfId="2280"/>
    <cellStyle name="40% - Accent6 3 2 2 3" xfId="1309"/>
    <cellStyle name="40% - Accent6 3 2 2 4" xfId="1900"/>
    <cellStyle name="40% - Accent6 3 2 3" xfId="654"/>
    <cellStyle name="40% - Accent6 3 2 3 2" xfId="2012"/>
    <cellStyle name="40% - Accent6 3 2 4" xfId="796"/>
    <cellStyle name="40% - Accent6 3 2 4 2" xfId="2154"/>
    <cellStyle name="40% - Accent6 3 2 5" xfId="407"/>
    <cellStyle name="40% - Accent6 3 2 5 2" xfId="1774"/>
    <cellStyle name="40% - Accent6 3 2 6" xfId="1165"/>
    <cellStyle name="40% - Accent6 3 2 7" xfId="1646"/>
    <cellStyle name="40% - Accent6 3 3" xfId="219"/>
    <cellStyle name="40% - Accent6 3 3 2" xfId="867"/>
    <cellStyle name="40% - Accent6 3 3 2 2" xfId="2224"/>
    <cellStyle name="40% - Accent6 3 3 3" xfId="479"/>
    <cellStyle name="40% - Accent6 3 3 3 2" xfId="1844"/>
    <cellStyle name="40% - Accent6 3 3 4" xfId="1109"/>
    <cellStyle name="40% - Accent6 3 3 5" xfId="1588"/>
    <cellStyle name="40% - Accent6 3 4" xfId="598"/>
    <cellStyle name="40% - Accent6 3 4 2" xfId="1238"/>
    <cellStyle name="40% - Accent6 3 4 3" xfId="1956"/>
    <cellStyle name="40% - Accent6 3 5" xfId="738"/>
    <cellStyle name="40% - Accent6 3 5 2" xfId="2096"/>
    <cellStyle name="40% - Accent6 3 6" xfId="349"/>
    <cellStyle name="40% - Accent6 3 6 2" xfId="1716"/>
    <cellStyle name="40% - Accent6 3 7" xfId="149"/>
    <cellStyle name="40% - Accent6 3 7 2" xfId="1518"/>
    <cellStyle name="40% - Accent6 3 8" xfId="1039"/>
    <cellStyle name="40% - Accent6 3 9" xfId="1448"/>
    <cellStyle name="40% - Accent6 4" xfId="92"/>
    <cellStyle name="40% - Accent6 4 2" xfId="292"/>
    <cellStyle name="40% - Accent6 4 2 2" xfId="556"/>
    <cellStyle name="40% - Accent6 4 2 2 2" xfId="938"/>
    <cellStyle name="40% - Accent6 4 2 2 2 2" xfId="2294"/>
    <cellStyle name="40% - Accent6 4 2 2 3" xfId="1323"/>
    <cellStyle name="40% - Accent6 4 2 2 4" xfId="1914"/>
    <cellStyle name="40% - Accent6 4 2 3" xfId="668"/>
    <cellStyle name="40% - Accent6 4 2 3 2" xfId="2026"/>
    <cellStyle name="40% - Accent6 4 2 4" xfId="809"/>
    <cellStyle name="40% - Accent6 4 2 4 2" xfId="2167"/>
    <cellStyle name="40% - Accent6 4 2 5" xfId="420"/>
    <cellStyle name="40% - Accent6 4 2 5 2" xfId="1787"/>
    <cellStyle name="40% - Accent6 4 2 6" xfId="1179"/>
    <cellStyle name="40% - Accent6 4 2 7" xfId="1659"/>
    <cellStyle name="40% - Accent6 4 3" xfId="233"/>
    <cellStyle name="40% - Accent6 4 3 2" xfId="881"/>
    <cellStyle name="40% - Accent6 4 3 2 2" xfId="2238"/>
    <cellStyle name="40% - Accent6 4 3 3" xfId="493"/>
    <cellStyle name="40% - Accent6 4 3 3 2" xfId="1858"/>
    <cellStyle name="40% - Accent6 4 3 4" xfId="1123"/>
    <cellStyle name="40% - Accent6 4 3 5" xfId="1602"/>
    <cellStyle name="40% - Accent6 4 4" xfId="612"/>
    <cellStyle name="40% - Accent6 4 4 2" xfId="1252"/>
    <cellStyle name="40% - Accent6 4 4 3" xfId="1970"/>
    <cellStyle name="40% - Accent6 4 5" xfId="752"/>
    <cellStyle name="40% - Accent6 4 5 2" xfId="2110"/>
    <cellStyle name="40% - Accent6 4 6" xfId="363"/>
    <cellStyle name="40% - Accent6 4 6 2" xfId="1730"/>
    <cellStyle name="40% - Accent6 4 7" xfId="163"/>
    <cellStyle name="40% - Accent6 4 7 2" xfId="1532"/>
    <cellStyle name="40% - Accent6 4 8" xfId="1053"/>
    <cellStyle name="40% - Accent6 4 9" xfId="1462"/>
    <cellStyle name="40% - Accent6 5" xfId="106"/>
    <cellStyle name="40% - Accent6 5 2" xfId="249"/>
    <cellStyle name="40% - Accent6 5 2 2" xfId="894"/>
    <cellStyle name="40% - Accent6 5 2 2 2" xfId="2250"/>
    <cellStyle name="40% - Accent6 5 2 3" xfId="509"/>
    <cellStyle name="40% - Accent6 5 2 3 2" xfId="1870"/>
    <cellStyle name="40% - Accent6 5 2 4" xfId="1135"/>
    <cellStyle name="40% - Accent6 5 2 5" xfId="1616"/>
    <cellStyle name="40% - Accent6 5 3" xfId="682"/>
    <cellStyle name="40% - Accent6 5 3 2" xfId="1266"/>
    <cellStyle name="40% - Accent6 5 3 3" xfId="2040"/>
    <cellStyle name="40% - Accent6 5 4" xfId="766"/>
    <cellStyle name="40% - Accent6 5 4 2" xfId="2124"/>
    <cellStyle name="40% - Accent6 5 5" xfId="377"/>
    <cellStyle name="40% - Accent6 5 5 2" xfId="1744"/>
    <cellStyle name="40% - Accent6 5 6" xfId="177"/>
    <cellStyle name="40% - Accent6 5 6 2" xfId="1546"/>
    <cellStyle name="40% - Accent6 5 7" xfId="1067"/>
    <cellStyle name="40% - Accent6 5 8" xfId="1476"/>
    <cellStyle name="40% - Accent6 6" xfId="189"/>
    <cellStyle name="40% - Accent6 6 2" xfId="624"/>
    <cellStyle name="40% - Accent6 6 2 2" xfId="1279"/>
    <cellStyle name="40% - Accent6 6 2 3" xfId="1982"/>
    <cellStyle name="40% - Accent6 6 3" xfId="824"/>
    <cellStyle name="40% - Accent6 6 3 2" xfId="2182"/>
    <cellStyle name="40% - Accent6 6 4" xfId="435"/>
    <cellStyle name="40% - Accent6 6 4 2" xfId="1802"/>
    <cellStyle name="40% - Accent6 6 5" xfId="1079"/>
    <cellStyle name="40% - Accent6 6 6" xfId="1558"/>
    <cellStyle name="40% - Accent6 7" xfId="307"/>
    <cellStyle name="40% - Accent6 7 2" xfId="696"/>
    <cellStyle name="40% - Accent6 7 2 2" xfId="1337"/>
    <cellStyle name="40% - Accent6 7 2 3" xfId="2054"/>
    <cellStyle name="40% - Accent6 7 3" xfId="837"/>
    <cellStyle name="40% - Accent6 7 3 2" xfId="2194"/>
    <cellStyle name="40% - Accent6 7 4" xfId="449"/>
    <cellStyle name="40% - Accent6 7 4 2" xfId="1814"/>
    <cellStyle name="40% - Accent6 7 5" xfId="1193"/>
    <cellStyle name="40% - Accent6 7 6" xfId="1674"/>
    <cellStyle name="40% - Accent6 8" xfId="568"/>
    <cellStyle name="40% - Accent6 8 2" xfId="1207"/>
    <cellStyle name="40% - Accent6 8 3" xfId="1926"/>
    <cellStyle name="40% - Accent6 9" xfId="708"/>
    <cellStyle name="40% - Accent6 9 2" xfId="1351"/>
    <cellStyle name="40% - Accent6 9 3" xfId="2066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APAD_STATS_TOTALS" xfId="64"/>
    <cellStyle name="Check Cell" xfId="13" builtinId="23" customBuiltin="1"/>
    <cellStyle name="Comma 2" xfId="437"/>
    <cellStyle name="Comma 2 2" xfId="496"/>
    <cellStyle name="Comma 2 3" xfId="511"/>
    <cellStyle name="Comma 3" xfId="495"/>
    <cellStyle name="Comma 4" xfId="825"/>
    <cellStyle name="Comma 5" xfId="436"/>
    <cellStyle name="Comma 6" xfId="98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939"/>
    <cellStyle name="Normal 10 2" xfId="1208"/>
    <cellStyle name="Normal 10 3" xfId="2295"/>
    <cellStyle name="Normal 10 4" xfId="2344"/>
    <cellStyle name="Normal 11" xfId="953"/>
    <cellStyle name="Normal 11 2" xfId="1194"/>
    <cellStyle name="Normal 11 3" xfId="2309"/>
    <cellStyle name="Normal 12" xfId="967"/>
    <cellStyle name="Normal 12 2" xfId="1338"/>
    <cellStyle name="Normal 12 3" xfId="2323"/>
    <cellStyle name="Normal 13" xfId="983"/>
    <cellStyle name="Normal 13 2" xfId="982"/>
    <cellStyle name="Normal 13 3" xfId="1352"/>
    <cellStyle name="Normal 14" xfId="43"/>
    <cellStyle name="Normal 15" xfId="1379"/>
    <cellStyle name="Normal 16" xfId="1392"/>
    <cellStyle name="Normal 16 2" xfId="2345"/>
    <cellStyle name="Normal 16 3" xfId="2338"/>
    <cellStyle name="Normal 17" xfId="44"/>
    <cellStyle name="Normal 17 2" xfId="2337"/>
    <cellStyle name="Normal 2" xfId="45"/>
    <cellStyle name="Normal 2 2" xfId="42"/>
    <cellStyle name="Normal 2 2 2" xfId="513"/>
    <cellStyle name="Normal 2 2 2 2" xfId="895"/>
    <cellStyle name="Normal 2 2 2 2 2" xfId="2251"/>
    <cellStyle name="Normal 2 2 2 3" xfId="1280"/>
    <cellStyle name="Normal 2 2 2 4" xfId="1871"/>
    <cellStyle name="Normal 2 2 3" xfId="1136"/>
    <cellStyle name="Normal 2 2 4" xfId="2340"/>
    <cellStyle name="Normal 2 3" xfId="190"/>
    <cellStyle name="Normal 2 3 2" xfId="838"/>
    <cellStyle name="Normal 2 3 2 2" xfId="2195"/>
    <cellStyle name="Normal 2 3 3" xfId="450"/>
    <cellStyle name="Normal 2 3 3 2" xfId="1815"/>
    <cellStyle name="Normal 2 3 4" xfId="1080"/>
    <cellStyle name="Normal 2 3 5" xfId="1559"/>
    <cellStyle name="Normal 2 4" xfId="709"/>
    <cellStyle name="Normal 2 4 2" xfId="1209"/>
    <cellStyle name="Normal 2 4 3" xfId="2067"/>
    <cellStyle name="Normal 2 5" xfId="320"/>
    <cellStyle name="Normal 2 5 2" xfId="1406"/>
    <cellStyle name="Normal 2 5 3" xfId="1687"/>
    <cellStyle name="Normal 2 6" xfId="107"/>
    <cellStyle name="Normal 2 7" xfId="62"/>
    <cellStyle name="Normal 2 8" xfId="1419"/>
    <cellStyle name="Normal 3" xfId="47"/>
    <cellStyle name="Normal 3 2" xfId="250"/>
    <cellStyle name="Normal 3 2 2" xfId="515"/>
    <cellStyle name="Normal 3 2 2 2" xfId="897"/>
    <cellStyle name="Normal 3 2 2 2 2" xfId="2253"/>
    <cellStyle name="Normal 3 2 2 3" xfId="1282"/>
    <cellStyle name="Normal 3 2 2 4" xfId="1873"/>
    <cellStyle name="Normal 3 2 3" xfId="625"/>
    <cellStyle name="Normal 3 2 3 2" xfId="1983"/>
    <cellStyle name="Normal 3 2 4" xfId="767"/>
    <cellStyle name="Normal 3 2 4 2" xfId="2125"/>
    <cellStyle name="Normal 3 2 5" xfId="378"/>
    <cellStyle name="Normal 3 2 5 2" xfId="1745"/>
    <cellStyle name="Normal 3 2 6" xfId="1138"/>
    <cellStyle name="Normal 3 2 7" xfId="1617"/>
    <cellStyle name="Normal 3 3" xfId="192"/>
    <cellStyle name="Normal 3 3 2" xfId="840"/>
    <cellStyle name="Normal 3 3 2 2" xfId="2197"/>
    <cellStyle name="Normal 3 3 3" xfId="452"/>
    <cellStyle name="Normal 3 3 3 2" xfId="1817"/>
    <cellStyle name="Normal 3 3 4" xfId="1082"/>
    <cellStyle name="Normal 3 3 5" xfId="1561"/>
    <cellStyle name="Normal 3 4" xfId="569"/>
    <cellStyle name="Normal 3 4 2" xfId="1211"/>
    <cellStyle name="Normal 3 4 3" xfId="1927"/>
    <cellStyle name="Normal 3 5" xfId="711"/>
    <cellStyle name="Normal 3 5 2" xfId="2069"/>
    <cellStyle name="Normal 3 6" xfId="322"/>
    <cellStyle name="Normal 3 6 2" xfId="1689"/>
    <cellStyle name="Normal 3 7" xfId="120"/>
    <cellStyle name="Normal 3 7 2" xfId="1489"/>
    <cellStyle name="Normal 3 8" xfId="1010"/>
    <cellStyle name="Normal 3 9" xfId="1421"/>
    <cellStyle name="Normal 4" xfId="61"/>
    <cellStyle name="Normal 4 10" xfId="1435"/>
    <cellStyle name="Normal 4 11" xfId="2341"/>
    <cellStyle name="Normal 4 2" xfId="252"/>
    <cellStyle name="Normal 4 2 2" xfId="529"/>
    <cellStyle name="Normal 4 2 2 2" xfId="911"/>
    <cellStyle name="Normal 4 2 2 2 2" xfId="2267"/>
    <cellStyle name="Normal 4 2 2 3" xfId="1296"/>
    <cellStyle name="Normal 4 2 2 4" xfId="1887"/>
    <cellStyle name="Normal 4 2 3" xfId="627"/>
    <cellStyle name="Normal 4 2 3 2" xfId="1985"/>
    <cellStyle name="Normal 4 2 4" xfId="769"/>
    <cellStyle name="Normal 4 2 4 2" xfId="2127"/>
    <cellStyle name="Normal 4 2 5" xfId="380"/>
    <cellStyle name="Normal 4 2 5 2" xfId="1747"/>
    <cellStyle name="Normal 4 2 6" xfId="1152"/>
    <cellStyle name="Normal 4 2 7" xfId="1619"/>
    <cellStyle name="Normal 4 3" xfId="206"/>
    <cellStyle name="Normal 4 3 2" xfId="854"/>
    <cellStyle name="Normal 4 3 2 2" xfId="2211"/>
    <cellStyle name="Normal 4 3 3" xfId="466"/>
    <cellStyle name="Normal 4 3 3 2" xfId="1831"/>
    <cellStyle name="Normal 4 3 4" xfId="1096"/>
    <cellStyle name="Normal 4 3 5" xfId="1575"/>
    <cellStyle name="Normal 4 4" xfId="571"/>
    <cellStyle name="Normal 4 4 2" xfId="1225"/>
    <cellStyle name="Normal 4 4 3" xfId="1929"/>
    <cellStyle name="Normal 4 5" xfId="725"/>
    <cellStyle name="Normal 4 5 2" xfId="2083"/>
    <cellStyle name="Normal 4 6" xfId="336"/>
    <cellStyle name="Normal 4 6 2" xfId="1703"/>
    <cellStyle name="Normal 4 7" xfId="122"/>
    <cellStyle name="Normal 4 7 2" xfId="1491"/>
    <cellStyle name="Normal 4 8" xfId="65"/>
    <cellStyle name="Normal 4 9" xfId="1012"/>
    <cellStyle name="Normal 5" xfId="79"/>
    <cellStyle name="Normal 5 2" xfId="266"/>
    <cellStyle name="Normal 5 2 2" xfId="543"/>
    <cellStyle name="Normal 5 2 2 2" xfId="925"/>
    <cellStyle name="Normal 5 2 2 2 2" xfId="2281"/>
    <cellStyle name="Normal 5 2 2 3" xfId="1310"/>
    <cellStyle name="Normal 5 2 2 4" xfId="1901"/>
    <cellStyle name="Normal 5 2 3" xfId="641"/>
    <cellStyle name="Normal 5 2 3 2" xfId="1999"/>
    <cellStyle name="Normal 5 2 4" xfId="783"/>
    <cellStyle name="Normal 5 2 4 2" xfId="2141"/>
    <cellStyle name="Normal 5 2 5" xfId="394"/>
    <cellStyle name="Normal 5 2 5 2" xfId="1761"/>
    <cellStyle name="Normal 5 2 6" xfId="1166"/>
    <cellStyle name="Normal 5 2 7" xfId="1633"/>
    <cellStyle name="Normal 5 3" xfId="220"/>
    <cellStyle name="Normal 5 3 2" xfId="868"/>
    <cellStyle name="Normal 5 3 2 2" xfId="2225"/>
    <cellStyle name="Normal 5 3 3" xfId="480"/>
    <cellStyle name="Normal 5 3 3 2" xfId="1845"/>
    <cellStyle name="Normal 5 3 4" xfId="1110"/>
    <cellStyle name="Normal 5 3 5" xfId="1589"/>
    <cellStyle name="Normal 5 4" xfId="585"/>
    <cellStyle name="Normal 5 4 2" xfId="1239"/>
    <cellStyle name="Normal 5 4 3" xfId="1943"/>
    <cellStyle name="Normal 5 5" xfId="739"/>
    <cellStyle name="Normal 5 5 2" xfId="2097"/>
    <cellStyle name="Normal 5 6" xfId="350"/>
    <cellStyle name="Normal 5 6 2" xfId="1717"/>
    <cellStyle name="Normal 5 7" xfId="136"/>
    <cellStyle name="Normal 5 7 2" xfId="1505"/>
    <cellStyle name="Normal 5 8" xfId="1026"/>
    <cellStyle name="Normal 5 9" xfId="1449"/>
    <cellStyle name="Normal 6" xfId="93"/>
    <cellStyle name="Normal 6 2" xfId="234"/>
    <cellStyle name="Normal 6 2 2" xfId="655"/>
    <cellStyle name="Normal 6 2 2 2" xfId="2013"/>
    <cellStyle name="Normal 6 2 3" xfId="882"/>
    <cellStyle name="Normal 6 2 4" xfId="494"/>
    <cellStyle name="Normal 6 2 5" xfId="1603"/>
    <cellStyle name="Normal 6 2 6" xfId="2343"/>
    <cellStyle name="Normal 6 3" xfId="599"/>
    <cellStyle name="Normal 6 3 2" xfId="1253"/>
    <cellStyle name="Normal 6 3 3" xfId="1957"/>
    <cellStyle name="Normal 6 4" xfId="753"/>
    <cellStyle name="Normal 6 4 2" xfId="2111"/>
    <cellStyle name="Normal 6 5" xfId="364"/>
    <cellStyle name="Normal 6 5 2" xfId="1731"/>
    <cellStyle name="Normal 6 6" xfId="150"/>
    <cellStyle name="Normal 6 6 2" xfId="1519"/>
    <cellStyle name="Normal 6 7" xfId="1040"/>
    <cellStyle name="Normal 6 8" xfId="1463"/>
    <cellStyle name="Normal 7" xfId="164"/>
    <cellStyle name="Normal 7 2" xfId="293"/>
    <cellStyle name="Normal 7 2 2" xfId="510"/>
    <cellStyle name="Normal 7 2 3" xfId="1660"/>
    <cellStyle name="Normal 7 3" xfId="669"/>
    <cellStyle name="Normal 7 3 2" xfId="2027"/>
    <cellStyle name="Normal 7 4" xfId="810"/>
    <cellStyle name="Normal 7 4 2" xfId="2168"/>
    <cellStyle name="Normal 7 5" xfId="421"/>
    <cellStyle name="Normal 7 5 2" xfId="1788"/>
    <cellStyle name="Normal 7 6" xfId="1054"/>
    <cellStyle name="Normal 7 7" xfId="1533"/>
    <cellStyle name="Normal 7 8" xfId="2342"/>
    <cellStyle name="Normal 8" xfId="236"/>
    <cellStyle name="Normal 8 2" xfId="1267"/>
    <cellStyle name="Normal 8 3" xfId="1180"/>
    <cellStyle name="Normal 9" xfId="294"/>
    <cellStyle name="Normal 9 2" xfId="683"/>
    <cellStyle name="Normal 9 2 2" xfId="2041"/>
    <cellStyle name="Normal 9 3" xfId="811"/>
    <cellStyle name="Normal 9 3 2" xfId="2169"/>
    <cellStyle name="Normal 9 4" xfId="422"/>
    <cellStyle name="Normal 9 4 2" xfId="1789"/>
    <cellStyle name="Normal 9 5" xfId="1324"/>
    <cellStyle name="Normal 9 6" xfId="1661"/>
    <cellStyle name="Note" xfId="15" builtinId="10" customBuiltin="1"/>
    <cellStyle name="Note 10" xfId="968"/>
    <cellStyle name="Note 10 2" xfId="1353"/>
    <cellStyle name="Note 10 3" xfId="2324"/>
    <cellStyle name="Note 11" xfId="984"/>
    <cellStyle name="Note 11 2" xfId="1366"/>
    <cellStyle name="Note 12" xfId="997"/>
    <cellStyle name="Note 13" xfId="1393"/>
    <cellStyle name="Note 2" xfId="46"/>
    <cellStyle name="Note 2 10" xfId="1420"/>
    <cellStyle name="Note 2 2" xfId="251"/>
    <cellStyle name="Note 2 2 2" xfId="514"/>
    <cellStyle name="Note 2 2 2 2" xfId="896"/>
    <cellStyle name="Note 2 2 2 2 2" xfId="2252"/>
    <cellStyle name="Note 2 2 2 3" xfId="1281"/>
    <cellStyle name="Note 2 2 2 4" xfId="1872"/>
    <cellStyle name="Note 2 2 3" xfId="626"/>
    <cellStyle name="Note 2 2 3 2" xfId="1984"/>
    <cellStyle name="Note 2 2 4" xfId="768"/>
    <cellStyle name="Note 2 2 4 2" xfId="2126"/>
    <cellStyle name="Note 2 2 5" xfId="379"/>
    <cellStyle name="Note 2 2 5 2" xfId="1746"/>
    <cellStyle name="Note 2 2 6" xfId="1137"/>
    <cellStyle name="Note 2 2 7" xfId="1618"/>
    <cellStyle name="Note 2 3" xfId="191"/>
    <cellStyle name="Note 2 3 2" xfId="839"/>
    <cellStyle name="Note 2 3 2 2" xfId="2196"/>
    <cellStyle name="Note 2 3 3" xfId="451"/>
    <cellStyle name="Note 2 3 3 2" xfId="1816"/>
    <cellStyle name="Note 2 3 4" xfId="1081"/>
    <cellStyle name="Note 2 3 5" xfId="1560"/>
    <cellStyle name="Note 2 4" xfId="570"/>
    <cellStyle name="Note 2 4 2" xfId="1210"/>
    <cellStyle name="Note 2 4 3" xfId="1928"/>
    <cellStyle name="Note 2 5" xfId="710"/>
    <cellStyle name="Note 2 5 2" xfId="2068"/>
    <cellStyle name="Note 2 6" xfId="321"/>
    <cellStyle name="Note 2 6 2" xfId="1688"/>
    <cellStyle name="Note 2 7" xfId="121"/>
    <cellStyle name="Note 2 7 2" xfId="1490"/>
    <cellStyle name="Note 2 8" xfId="63"/>
    <cellStyle name="Note 2 9" xfId="1011"/>
    <cellStyle name="Note 3" xfId="48"/>
    <cellStyle name="Note 3 2" xfId="253"/>
    <cellStyle name="Note 3 2 2" xfId="516"/>
    <cellStyle name="Note 3 2 2 2" xfId="898"/>
    <cellStyle name="Note 3 2 2 2 2" xfId="2254"/>
    <cellStyle name="Note 3 2 2 3" xfId="1283"/>
    <cellStyle name="Note 3 2 2 4" xfId="1874"/>
    <cellStyle name="Note 3 2 3" xfId="628"/>
    <cellStyle name="Note 3 2 3 2" xfId="1986"/>
    <cellStyle name="Note 3 2 4" xfId="770"/>
    <cellStyle name="Note 3 2 4 2" xfId="2128"/>
    <cellStyle name="Note 3 2 5" xfId="381"/>
    <cellStyle name="Note 3 2 5 2" xfId="1748"/>
    <cellStyle name="Note 3 2 6" xfId="1139"/>
    <cellStyle name="Note 3 2 7" xfId="1620"/>
    <cellStyle name="Note 3 3" xfId="193"/>
    <cellStyle name="Note 3 3 2" xfId="841"/>
    <cellStyle name="Note 3 3 2 2" xfId="2198"/>
    <cellStyle name="Note 3 3 3" xfId="453"/>
    <cellStyle name="Note 3 3 3 2" xfId="1818"/>
    <cellStyle name="Note 3 3 4" xfId="1083"/>
    <cellStyle name="Note 3 3 5" xfId="1562"/>
    <cellStyle name="Note 3 4" xfId="572"/>
    <cellStyle name="Note 3 4 2" xfId="1212"/>
    <cellStyle name="Note 3 4 3" xfId="1930"/>
    <cellStyle name="Note 3 5" xfId="712"/>
    <cellStyle name="Note 3 5 2" xfId="2070"/>
    <cellStyle name="Note 3 6" xfId="323"/>
    <cellStyle name="Note 3 6 2" xfId="1690"/>
    <cellStyle name="Note 3 7" xfId="123"/>
    <cellStyle name="Note 3 7 2" xfId="1492"/>
    <cellStyle name="Note 3 8" xfId="1013"/>
    <cellStyle name="Note 3 9" xfId="1422"/>
    <cellStyle name="Note 4" xfId="66"/>
    <cellStyle name="Note 4 2" xfId="267"/>
    <cellStyle name="Note 4 2 2" xfId="530"/>
    <cellStyle name="Note 4 2 2 2" xfId="912"/>
    <cellStyle name="Note 4 2 2 2 2" xfId="2268"/>
    <cellStyle name="Note 4 2 2 3" xfId="1297"/>
    <cellStyle name="Note 4 2 2 4" xfId="1888"/>
    <cellStyle name="Note 4 2 3" xfId="642"/>
    <cellStyle name="Note 4 2 3 2" xfId="2000"/>
    <cellStyle name="Note 4 2 4" xfId="784"/>
    <cellStyle name="Note 4 2 4 2" xfId="2142"/>
    <cellStyle name="Note 4 2 5" xfId="395"/>
    <cellStyle name="Note 4 2 5 2" xfId="1762"/>
    <cellStyle name="Note 4 2 6" xfId="1153"/>
    <cellStyle name="Note 4 2 7" xfId="1634"/>
    <cellStyle name="Note 4 3" xfId="207"/>
    <cellStyle name="Note 4 3 2" xfId="855"/>
    <cellStyle name="Note 4 3 2 2" xfId="2212"/>
    <cellStyle name="Note 4 3 3" xfId="467"/>
    <cellStyle name="Note 4 3 3 2" xfId="1832"/>
    <cellStyle name="Note 4 3 4" xfId="1097"/>
    <cellStyle name="Note 4 3 5" xfId="1576"/>
    <cellStyle name="Note 4 4" xfId="586"/>
    <cellStyle name="Note 4 4 2" xfId="1226"/>
    <cellStyle name="Note 4 4 3" xfId="1944"/>
    <cellStyle name="Note 4 5" xfId="726"/>
    <cellStyle name="Note 4 5 2" xfId="2084"/>
    <cellStyle name="Note 4 6" xfId="337"/>
    <cellStyle name="Note 4 6 2" xfId="1704"/>
    <cellStyle name="Note 4 7" xfId="137"/>
    <cellStyle name="Note 4 7 2" xfId="1506"/>
    <cellStyle name="Note 4 8" xfId="1027"/>
    <cellStyle name="Note 4 9" xfId="1436"/>
    <cellStyle name="Note 5" xfId="80"/>
    <cellStyle name="Note 5 2" xfId="280"/>
    <cellStyle name="Note 5 2 2" xfId="544"/>
    <cellStyle name="Note 5 2 2 2" xfId="926"/>
    <cellStyle name="Note 5 2 2 2 2" xfId="2282"/>
    <cellStyle name="Note 5 2 2 3" xfId="1311"/>
    <cellStyle name="Note 5 2 2 4" xfId="1902"/>
    <cellStyle name="Note 5 2 3" xfId="656"/>
    <cellStyle name="Note 5 2 3 2" xfId="2014"/>
    <cellStyle name="Note 5 2 4" xfId="797"/>
    <cellStyle name="Note 5 2 4 2" xfId="2155"/>
    <cellStyle name="Note 5 2 5" xfId="408"/>
    <cellStyle name="Note 5 2 5 2" xfId="1775"/>
    <cellStyle name="Note 5 2 6" xfId="1167"/>
    <cellStyle name="Note 5 2 7" xfId="1647"/>
    <cellStyle name="Note 5 3" xfId="221"/>
    <cellStyle name="Note 5 3 2" xfId="869"/>
    <cellStyle name="Note 5 3 2 2" xfId="2226"/>
    <cellStyle name="Note 5 3 3" xfId="481"/>
    <cellStyle name="Note 5 3 3 2" xfId="1846"/>
    <cellStyle name="Note 5 3 4" xfId="1111"/>
    <cellStyle name="Note 5 3 5" xfId="1590"/>
    <cellStyle name="Note 5 4" xfId="600"/>
    <cellStyle name="Note 5 4 2" xfId="1240"/>
    <cellStyle name="Note 5 4 3" xfId="1958"/>
    <cellStyle name="Note 5 5" xfId="740"/>
    <cellStyle name="Note 5 5 2" xfId="2098"/>
    <cellStyle name="Note 5 6" xfId="351"/>
    <cellStyle name="Note 5 6 2" xfId="1718"/>
    <cellStyle name="Note 5 7" xfId="151"/>
    <cellStyle name="Note 5 7 2" xfId="1520"/>
    <cellStyle name="Note 5 8" xfId="1041"/>
    <cellStyle name="Note 5 9" xfId="1450"/>
    <cellStyle name="Note 6" xfId="94"/>
    <cellStyle name="Note 6 2" xfId="237"/>
    <cellStyle name="Note 6 2 2" xfId="670"/>
    <cellStyle name="Note 6 2 2 2" xfId="2028"/>
    <cellStyle name="Note 6 2 3" xfId="1254"/>
    <cellStyle name="Note 6 2 4" xfId="1604"/>
    <cellStyle name="Note 6 3" xfId="754"/>
    <cellStyle name="Note 6 3 2" xfId="2112"/>
    <cellStyle name="Note 6 4" xfId="365"/>
    <cellStyle name="Note 6 4 2" xfId="1732"/>
    <cellStyle name="Note 6 5" xfId="165"/>
    <cellStyle name="Note 6 5 2" xfId="1534"/>
    <cellStyle name="Note 6 6" xfId="1055"/>
    <cellStyle name="Note 6 7" xfId="1464"/>
    <cellStyle name="Note 7" xfId="295"/>
    <cellStyle name="Note 7 2" xfId="684"/>
    <cellStyle name="Note 7 2 2" xfId="1325"/>
    <cellStyle name="Note 7 2 3" xfId="2042"/>
    <cellStyle name="Note 7 3" xfId="812"/>
    <cellStyle name="Note 7 3 2" xfId="2170"/>
    <cellStyle name="Note 7 4" xfId="423"/>
    <cellStyle name="Note 7 4 2" xfId="1790"/>
    <cellStyle name="Note 7 5" xfId="1181"/>
    <cellStyle name="Note 7 6" xfId="1662"/>
    <cellStyle name="Note 8" xfId="940"/>
    <cellStyle name="Note 8 2" xfId="1195"/>
    <cellStyle name="Note 8 3" xfId="2296"/>
    <cellStyle name="Note 9" xfId="954"/>
    <cellStyle name="Note 9 2" xfId="1339"/>
    <cellStyle name="Note 9 3" xfId="2310"/>
    <cellStyle name="Output" xfId="10" builtinId="21" customBuiltin="1"/>
    <cellStyle name="Percent 2" xfId="235"/>
    <cellStyle name="Percent 2 2" xfId="497"/>
    <cellStyle name="Percent 2 3" xfId="512"/>
    <cellStyle name="Percent 3" xfId="233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>
      <selection activeCell="A3" sqref="A3"/>
    </sheetView>
  </sheetViews>
  <sheetFormatPr defaultRowHeight="12.75"/>
  <cols>
    <col min="1" max="1" width="60" style="13" customWidth="1"/>
    <col min="2" max="3" width="17.7109375" style="13" customWidth="1"/>
    <col min="4" max="4" width="30.7109375" style="13" customWidth="1"/>
    <col min="5" max="5" width="13.7109375" style="13" customWidth="1"/>
    <col min="6" max="7" width="9.140625" style="13"/>
    <col min="8" max="8" width="11.42578125" style="13" customWidth="1"/>
    <col min="9" max="16384" width="9.140625" style="13"/>
  </cols>
  <sheetData>
    <row r="1" spans="1:5" ht="13.5" thickBot="1">
      <c r="A1" s="86" t="s">
        <v>0</v>
      </c>
      <c r="B1" s="86"/>
      <c r="C1" s="86"/>
      <c r="D1" s="86"/>
      <c r="E1" s="86"/>
    </row>
    <row r="2" spans="1:5">
      <c r="A2" s="26" t="s">
        <v>1</v>
      </c>
      <c r="B2" s="27" t="s">
        <v>2</v>
      </c>
      <c r="C2" s="27" t="s">
        <v>3</v>
      </c>
      <c r="D2" s="27" t="s">
        <v>4</v>
      </c>
      <c r="E2" s="28" t="s">
        <v>5</v>
      </c>
    </row>
    <row r="3" spans="1:5" ht="14.1" customHeight="1">
      <c r="A3" s="29" t="s">
        <v>6</v>
      </c>
      <c r="B3" s="1">
        <v>45</v>
      </c>
      <c r="C3" s="15">
        <v>284280.87602055602</v>
      </c>
      <c r="D3" s="1" t="s">
        <v>7</v>
      </c>
      <c r="E3" s="30">
        <v>3.6975924660549497E-2</v>
      </c>
    </row>
    <row r="4" spans="1:5" ht="14.1" customHeight="1">
      <c r="A4" s="29" t="s">
        <v>8</v>
      </c>
      <c r="B4" s="1">
        <v>83</v>
      </c>
      <c r="C4" s="15">
        <v>60690.039289408298</v>
      </c>
      <c r="D4" s="1" t="s">
        <v>7</v>
      </c>
      <c r="E4" s="30">
        <v>7.8938490405126086E-3</v>
      </c>
    </row>
    <row r="5" spans="1:5" ht="14.1" customHeight="1">
      <c r="A5" s="29" t="s">
        <v>9</v>
      </c>
      <c r="B5" s="1">
        <v>3</v>
      </c>
      <c r="C5" s="15">
        <v>1052.5585806521699</v>
      </c>
      <c r="D5" s="1" t="s">
        <v>10</v>
      </c>
      <c r="E5" s="30">
        <v>1.3690448447962195E-4</v>
      </c>
    </row>
    <row r="6" spans="1:5" ht="14.1" customHeight="1">
      <c r="A6" s="29" t="s">
        <v>11</v>
      </c>
      <c r="B6" s="1">
        <v>1</v>
      </c>
      <c r="C6" s="15">
        <v>21553.050781000002</v>
      </c>
      <c r="D6" s="1" t="s">
        <v>12</v>
      </c>
      <c r="E6" s="30">
        <v>2.8033682498770245E-3</v>
      </c>
    </row>
    <row r="7" spans="1:5" ht="14.1" customHeight="1">
      <c r="A7" s="29" t="s">
        <v>13</v>
      </c>
      <c r="B7" s="1">
        <v>12</v>
      </c>
      <c r="C7" s="15">
        <v>8599.5965995788592</v>
      </c>
      <c r="D7" s="1" t="s">
        <v>12</v>
      </c>
      <c r="E7" s="30">
        <v>1.1185347408108905E-3</v>
      </c>
    </row>
    <row r="8" spans="1:5" ht="14.1" customHeight="1">
      <c r="A8" s="29" t="s">
        <v>14</v>
      </c>
      <c r="B8" s="1">
        <v>5</v>
      </c>
      <c r="C8" s="15">
        <v>1171120.80363257</v>
      </c>
      <c r="D8" s="1" t="s">
        <v>15</v>
      </c>
      <c r="E8" s="30">
        <v>0.15232566892888313</v>
      </c>
    </row>
    <row r="9" spans="1:5" ht="14.1" customHeight="1">
      <c r="A9" s="29" t="s">
        <v>1169</v>
      </c>
      <c r="B9" s="1">
        <v>3</v>
      </c>
      <c r="C9" s="15">
        <v>157.54826025957109</v>
      </c>
      <c r="D9" s="1" t="s">
        <v>1167</v>
      </c>
      <c r="E9" s="30">
        <v>2.0492031273103681E-5</v>
      </c>
    </row>
    <row r="10" spans="1:5" ht="14.1" customHeight="1">
      <c r="A10" s="29" t="s">
        <v>16</v>
      </c>
      <c r="B10" s="1">
        <v>34</v>
      </c>
      <c r="C10" s="15">
        <v>131511.800906377</v>
      </c>
      <c r="D10" s="1" t="s">
        <v>10</v>
      </c>
      <c r="E10" s="30">
        <v>1.7105513780447754E-2</v>
      </c>
    </row>
    <row r="11" spans="1:5" ht="14.1" customHeight="1">
      <c r="A11" s="29" t="s">
        <v>17</v>
      </c>
      <c r="B11" s="1">
        <v>23</v>
      </c>
      <c r="C11" s="15">
        <v>195252.238101806</v>
      </c>
      <c r="D11" s="1" t="s">
        <v>10</v>
      </c>
      <c r="E11" s="30">
        <v>2.5396122830766876E-2</v>
      </c>
    </row>
    <row r="12" spans="1:5" ht="14.1" customHeight="1">
      <c r="A12" s="29" t="s">
        <v>18</v>
      </c>
      <c r="B12" s="1">
        <v>1</v>
      </c>
      <c r="C12" s="15">
        <v>1365.7273236467299</v>
      </c>
      <c r="D12" s="1" t="s">
        <v>19</v>
      </c>
      <c r="E12" s="30">
        <v>1.7763780431844406E-4</v>
      </c>
    </row>
    <row r="13" spans="1:5" ht="14.1" customHeight="1">
      <c r="A13" s="29" t="s">
        <v>20</v>
      </c>
      <c r="B13" s="1">
        <v>422</v>
      </c>
      <c r="C13" s="15">
        <v>657271.83527202799</v>
      </c>
      <c r="D13" s="1" t="s">
        <v>21</v>
      </c>
      <c r="E13" s="30">
        <v>8.549021729045983E-2</v>
      </c>
    </row>
    <row r="14" spans="1:5" ht="14.1" customHeight="1">
      <c r="A14" s="29" t="s">
        <v>22</v>
      </c>
      <c r="B14" s="1">
        <v>676</v>
      </c>
      <c r="C14" s="15">
        <v>226608.78179465199</v>
      </c>
      <c r="D14" s="1" t="s">
        <v>21</v>
      </c>
      <c r="E14" s="30">
        <v>2.9474614544427079E-2</v>
      </c>
    </row>
    <row r="15" spans="1:5" ht="14.1" customHeight="1">
      <c r="A15" s="29" t="s">
        <v>23</v>
      </c>
      <c r="B15" s="1">
        <v>338</v>
      </c>
      <c r="C15" s="15">
        <v>6779569.4539033901</v>
      </c>
      <c r="D15" s="1" t="s">
        <v>24</v>
      </c>
      <c r="E15" s="30">
        <v>0.88180693990955616</v>
      </c>
    </row>
    <row r="16" spans="1:5" ht="14.1" customHeight="1">
      <c r="A16" s="29" t="s">
        <v>25</v>
      </c>
      <c r="B16" s="1">
        <v>34</v>
      </c>
      <c r="C16" s="15">
        <v>174121.20250233001</v>
      </c>
      <c r="D16" s="1" t="s">
        <v>26</v>
      </c>
      <c r="E16" s="30">
        <v>2.2647645369802825E-2</v>
      </c>
    </row>
    <row r="17" spans="1:5" ht="14.1" customHeight="1">
      <c r="A17" s="29" t="s">
        <v>27</v>
      </c>
      <c r="B17" s="1">
        <v>2</v>
      </c>
      <c r="C17" s="15">
        <v>1678.76045261079</v>
      </c>
      <c r="D17" s="1" t="s">
        <v>28</v>
      </c>
      <c r="E17" s="30">
        <v>2.1835348507353715E-4</v>
      </c>
    </row>
    <row r="18" spans="1:5" ht="14.1" customHeight="1">
      <c r="A18" s="29" t="s">
        <v>29</v>
      </c>
      <c r="B18" s="1">
        <v>68</v>
      </c>
      <c r="C18" s="15">
        <v>28911.028028788998</v>
      </c>
      <c r="D18" s="1" t="s">
        <v>10</v>
      </c>
      <c r="E18" s="30">
        <v>3.7604076968379601E-3</v>
      </c>
    </row>
    <row r="19" spans="1:5" ht="14.1" customHeight="1">
      <c r="A19" s="29" t="s">
        <v>30</v>
      </c>
      <c r="B19" s="1">
        <v>61</v>
      </c>
      <c r="C19" s="15">
        <v>16076.4106150512</v>
      </c>
      <c r="D19" s="1" t="s">
        <v>31</v>
      </c>
      <c r="E19" s="30">
        <v>2.0910310817784596E-3</v>
      </c>
    </row>
    <row r="20" spans="1:5" ht="14.1" customHeight="1">
      <c r="A20" s="29" t="s">
        <v>32</v>
      </c>
      <c r="B20" s="1">
        <v>22</v>
      </c>
      <c r="C20" s="15">
        <v>46366.807845327203</v>
      </c>
      <c r="D20" s="1" t="s">
        <v>33</v>
      </c>
      <c r="E20" s="30">
        <v>6.0308509585253406E-3</v>
      </c>
    </row>
    <row r="21" spans="1:5" ht="14.1" customHeight="1">
      <c r="A21" s="29" t="s">
        <v>34</v>
      </c>
      <c r="B21" s="1">
        <v>1563</v>
      </c>
      <c r="C21" s="15">
        <v>646998.81243755796</v>
      </c>
      <c r="D21" s="1" t="s">
        <v>31</v>
      </c>
      <c r="E21" s="30">
        <v>8.4154022877100831E-2</v>
      </c>
    </row>
    <row r="22" spans="1:5" ht="14.1" customHeight="1">
      <c r="A22" s="29" t="s">
        <v>35</v>
      </c>
      <c r="B22" s="1">
        <v>42</v>
      </c>
      <c r="C22" s="15">
        <v>56389.331791229903</v>
      </c>
      <c r="D22" s="1" t="s">
        <v>36</v>
      </c>
      <c r="E22" s="30">
        <v>7.3344634122362766E-3</v>
      </c>
    </row>
    <row r="23" spans="1:5" ht="14.1" customHeight="1">
      <c r="A23" s="29" t="s">
        <v>37</v>
      </c>
      <c r="B23" s="1">
        <v>31</v>
      </c>
      <c r="C23" s="15">
        <v>16541.912164719299</v>
      </c>
      <c r="D23" s="1" t="s">
        <v>38</v>
      </c>
      <c r="E23" s="30">
        <v>2.1515780678115683E-3</v>
      </c>
    </row>
    <row r="24" spans="1:5" ht="14.1" customHeight="1">
      <c r="A24" s="29" t="s">
        <v>39</v>
      </c>
      <c r="B24" s="1">
        <v>4</v>
      </c>
      <c r="C24" s="15">
        <v>7780.7950417243101</v>
      </c>
      <c r="D24" s="1" t="s">
        <v>19</v>
      </c>
      <c r="E24" s="30">
        <v>1.0120346302899803E-3</v>
      </c>
    </row>
    <row r="25" spans="1:5" ht="14.1" customHeight="1">
      <c r="A25" s="29" t="s">
        <v>40</v>
      </c>
      <c r="B25" s="1">
        <v>1</v>
      </c>
      <c r="C25" s="15">
        <v>1605.44483275929</v>
      </c>
      <c r="D25" s="1" t="s">
        <v>19</v>
      </c>
      <c r="E25" s="30">
        <v>2.0881744848177383E-4</v>
      </c>
    </row>
    <row r="26" spans="1:5" ht="14.1" customHeight="1">
      <c r="A26" s="29" t="s">
        <v>41</v>
      </c>
      <c r="B26" s="1">
        <v>67</v>
      </c>
      <c r="C26" s="15">
        <v>55028856.235243097</v>
      </c>
      <c r="D26" s="1" t="s">
        <v>42</v>
      </c>
      <c r="E26" s="30">
        <v>7.1575086963057908</v>
      </c>
    </row>
    <row r="27" spans="1:5" ht="14.1" customHeight="1">
      <c r="A27" s="29" t="s">
        <v>43</v>
      </c>
      <c r="B27" s="1">
        <v>4</v>
      </c>
      <c r="C27" s="15">
        <v>5327.7636884782096</v>
      </c>
      <c r="D27" s="1" t="s">
        <v>10</v>
      </c>
      <c r="E27" s="30">
        <v>6.9297306069978758E-4</v>
      </c>
    </row>
    <row r="28" spans="1:5" ht="14.1" customHeight="1">
      <c r="A28" s="29" t="s">
        <v>44</v>
      </c>
      <c r="B28" s="1">
        <v>13</v>
      </c>
      <c r="C28" s="15">
        <v>52211.686454835202</v>
      </c>
      <c r="D28" s="1" t="s">
        <v>36</v>
      </c>
      <c r="E28" s="30">
        <v>6.7910842677107175E-3</v>
      </c>
    </row>
    <row r="29" spans="1:5" ht="14.1" customHeight="1">
      <c r="A29" s="29" t="s">
        <v>45</v>
      </c>
      <c r="B29" s="1">
        <v>8</v>
      </c>
      <c r="C29" s="15">
        <v>583.80885260174</v>
      </c>
      <c r="D29" s="1" t="s">
        <v>36</v>
      </c>
      <c r="E29" s="30">
        <v>7.5935013470279522E-5</v>
      </c>
    </row>
    <row r="30" spans="1:5" ht="14.1" customHeight="1">
      <c r="A30" s="29" t="s">
        <v>46</v>
      </c>
      <c r="B30" s="1">
        <v>23</v>
      </c>
      <c r="C30" s="15">
        <v>579577.81876439799</v>
      </c>
      <c r="D30" s="1" t="s">
        <v>7</v>
      </c>
      <c r="E30" s="30">
        <v>7.5384690175249E-2</v>
      </c>
    </row>
    <row r="31" spans="1:5" ht="14.1" customHeight="1">
      <c r="A31" s="29" t="s">
        <v>47</v>
      </c>
      <c r="B31" s="1">
        <v>687</v>
      </c>
      <c r="C31" s="15">
        <v>30387353.6153473</v>
      </c>
      <c r="D31" s="1" t="s">
        <v>48</v>
      </c>
      <c r="E31" s="30">
        <v>3.9524308270152928</v>
      </c>
    </row>
    <row r="32" spans="1:5" ht="14.1" customHeight="1">
      <c r="A32" s="29" t="s">
        <v>49</v>
      </c>
      <c r="B32" s="1">
        <v>8</v>
      </c>
      <c r="C32" s="46">
        <v>2054710.9033006995</v>
      </c>
      <c r="D32" s="1" t="s">
        <v>50</v>
      </c>
      <c r="E32" s="30">
        <v>0.26725271366534908</v>
      </c>
    </row>
    <row r="33" spans="1:5" ht="14.1" customHeight="1">
      <c r="A33" s="29" t="s">
        <v>51</v>
      </c>
      <c r="B33" s="1">
        <v>22</v>
      </c>
      <c r="C33" s="15">
        <v>1677989.82841493</v>
      </c>
      <c r="D33" s="1" t="s">
        <v>28</v>
      </c>
      <c r="E33" s="30">
        <v>0.21825325130963932</v>
      </c>
    </row>
    <row r="34" spans="1:5" ht="14.1" customHeight="1">
      <c r="A34" s="29" t="s">
        <v>52</v>
      </c>
      <c r="B34" s="1">
        <v>7</v>
      </c>
      <c r="C34" s="15">
        <v>69230.122717798396</v>
      </c>
      <c r="D34" s="1" t="s">
        <v>36</v>
      </c>
      <c r="E34" s="30">
        <v>9.0046430054929547E-3</v>
      </c>
    </row>
    <row r="35" spans="1:5" ht="14.1" customHeight="1">
      <c r="A35" s="29" t="s">
        <v>53</v>
      </c>
      <c r="B35" s="1">
        <v>22</v>
      </c>
      <c r="C35" s="15">
        <v>52616.225668984</v>
      </c>
      <c r="D35" s="1" t="s">
        <v>36</v>
      </c>
      <c r="E35" s="30">
        <v>6.8437019876009661E-3</v>
      </c>
    </row>
    <row r="36" spans="1:5" ht="14.1" customHeight="1">
      <c r="A36" s="29" t="s">
        <v>54</v>
      </c>
      <c r="B36" s="1">
        <v>2510</v>
      </c>
      <c r="C36" s="15">
        <v>315745.07894461398</v>
      </c>
      <c r="D36" s="1" t="s">
        <v>36</v>
      </c>
      <c r="E36" s="30">
        <v>4.1068419425269731E-2</v>
      </c>
    </row>
    <row r="37" spans="1:5" ht="14.1" customHeight="1">
      <c r="A37" s="29" t="s">
        <v>55</v>
      </c>
      <c r="B37" s="1">
        <v>259</v>
      </c>
      <c r="C37" s="15">
        <v>130651.449505545</v>
      </c>
      <c r="D37" s="1" t="s">
        <v>36</v>
      </c>
      <c r="E37" s="30">
        <v>1.6993609353304854E-2</v>
      </c>
    </row>
    <row r="38" spans="1:5" ht="14.1" customHeight="1">
      <c r="A38" s="29" t="s">
        <v>56</v>
      </c>
      <c r="B38" s="1">
        <v>10</v>
      </c>
      <c r="C38" s="15">
        <v>23658.783524337101</v>
      </c>
      <c r="D38" s="1" t="s">
        <v>19</v>
      </c>
      <c r="E38" s="30">
        <v>3.0772572865326408E-3</v>
      </c>
    </row>
    <row r="39" spans="1:5" ht="14.1" customHeight="1">
      <c r="A39" s="29" t="s">
        <v>57</v>
      </c>
      <c r="B39" s="1">
        <v>25</v>
      </c>
      <c r="C39" s="15">
        <v>67426.631221771197</v>
      </c>
      <c r="D39" s="1" t="s">
        <v>58</v>
      </c>
      <c r="E39" s="30">
        <v>8.7700659681046872E-3</v>
      </c>
    </row>
    <row r="40" spans="1:5" ht="14.1" customHeight="1">
      <c r="A40" s="29" t="s">
        <v>59</v>
      </c>
      <c r="B40" s="1">
        <v>475</v>
      </c>
      <c r="C40" s="15">
        <v>3842779.3407999198</v>
      </c>
      <c r="D40" s="1" t="s">
        <v>28</v>
      </c>
      <c r="E40" s="30">
        <v>0.49982370035422119</v>
      </c>
    </row>
    <row r="41" spans="1:5" ht="14.1" customHeight="1">
      <c r="A41" s="29" t="s">
        <v>60</v>
      </c>
      <c r="B41" s="1">
        <v>1767</v>
      </c>
      <c r="C41" s="15">
        <v>11338242.1704257</v>
      </c>
      <c r="D41" s="1" t="s">
        <v>61</v>
      </c>
      <c r="E41" s="30">
        <v>1.4747456605079934</v>
      </c>
    </row>
    <row r="42" spans="1:5" ht="14.1" customHeight="1">
      <c r="A42" s="29" t="s">
        <v>62</v>
      </c>
      <c r="B42" s="1">
        <v>125</v>
      </c>
      <c r="C42" s="15">
        <v>8050928.9506593999</v>
      </c>
      <c r="D42" s="1" t="s">
        <v>42</v>
      </c>
      <c r="E42" s="30">
        <v>1.0471704832705424</v>
      </c>
    </row>
    <row r="43" spans="1:5" ht="14.1" customHeight="1">
      <c r="A43" s="29" t="s">
        <v>63</v>
      </c>
      <c r="B43" s="1">
        <v>2</v>
      </c>
      <c r="C43" s="15">
        <v>8530.2191447626792</v>
      </c>
      <c r="D43" s="1" t="s">
        <v>36</v>
      </c>
      <c r="E43" s="30">
        <v>1.109510934572731E-3</v>
      </c>
    </row>
    <row r="44" spans="1:5" ht="14.1" customHeight="1">
      <c r="A44" s="29" t="s">
        <v>64</v>
      </c>
      <c r="B44" s="1">
        <v>6</v>
      </c>
      <c r="C44" s="15">
        <v>194733.491999019</v>
      </c>
      <c r="D44" s="1" t="s">
        <v>21</v>
      </c>
      <c r="E44" s="30">
        <v>2.5328650417275299E-2</v>
      </c>
    </row>
    <row r="45" spans="1:5" ht="14.1" customHeight="1">
      <c r="A45" s="29" t="s">
        <v>65</v>
      </c>
      <c r="B45" s="1">
        <v>1</v>
      </c>
      <c r="C45" s="15">
        <v>807.25023867360096</v>
      </c>
      <c r="D45" s="1" t="s">
        <v>19</v>
      </c>
      <c r="E45" s="30">
        <v>1.0499765030007622E-4</v>
      </c>
    </row>
    <row r="46" spans="1:5" ht="14.1" customHeight="1">
      <c r="A46" s="29" t="s">
        <v>66</v>
      </c>
      <c r="B46" s="1">
        <v>1</v>
      </c>
      <c r="C46" s="15">
        <v>1341.9158065658901</v>
      </c>
      <c r="D46" s="1" t="s">
        <v>10</v>
      </c>
      <c r="E46" s="30">
        <v>1.7454068124087601E-4</v>
      </c>
    </row>
    <row r="47" spans="1:5" ht="14.1" customHeight="1">
      <c r="A47" s="29" t="s">
        <v>67</v>
      </c>
      <c r="B47" s="1">
        <v>15</v>
      </c>
      <c r="C47" s="15">
        <v>1939.3543791770901</v>
      </c>
      <c r="D47" s="1" t="s">
        <v>58</v>
      </c>
      <c r="E47" s="30">
        <v>2.5224848895348697E-4</v>
      </c>
    </row>
    <row r="48" spans="1:5" ht="14.1" customHeight="1">
      <c r="A48" s="29" t="s">
        <v>68</v>
      </c>
      <c r="B48" s="1">
        <v>23</v>
      </c>
      <c r="C48" s="15">
        <v>5109.7512500286102</v>
      </c>
      <c r="D48" s="1" t="s">
        <v>58</v>
      </c>
      <c r="E48" s="30">
        <v>6.6461655775094984E-4</v>
      </c>
    </row>
    <row r="49" spans="1:5" ht="14.1" customHeight="1">
      <c r="A49" s="29" t="s">
        <v>69</v>
      </c>
      <c r="B49" s="1">
        <v>4</v>
      </c>
      <c r="C49" s="15">
        <v>129.072859074268</v>
      </c>
      <c r="D49" s="1" t="s">
        <v>36</v>
      </c>
      <c r="E49" s="30">
        <v>1.6788284810641836E-5</v>
      </c>
    </row>
    <row r="50" spans="1:5" ht="14.1" customHeight="1">
      <c r="A50" s="29" t="s">
        <v>70</v>
      </c>
      <c r="B50" s="1">
        <v>14</v>
      </c>
      <c r="C50" s="15">
        <v>3211.5224486576799</v>
      </c>
      <c r="D50" s="1" t="s">
        <v>31</v>
      </c>
      <c r="E50" s="30">
        <v>4.1771720197824073E-4</v>
      </c>
    </row>
    <row r="51" spans="1:5" ht="14.1" customHeight="1">
      <c r="A51" s="29" t="s">
        <v>71</v>
      </c>
      <c r="B51" s="1">
        <v>56</v>
      </c>
      <c r="C51" s="15">
        <v>22825.300283856301</v>
      </c>
      <c r="D51" s="1" t="s">
        <v>36</v>
      </c>
      <c r="E51" s="30">
        <v>2.9688475548009141E-3</v>
      </c>
    </row>
    <row r="52" spans="1:5" ht="14.1" customHeight="1">
      <c r="A52" s="29" t="s">
        <v>72</v>
      </c>
      <c r="B52" s="1">
        <v>289</v>
      </c>
      <c r="C52" s="15">
        <v>434560.359378764</v>
      </c>
      <c r="D52" s="1" t="s">
        <v>73</v>
      </c>
      <c r="E52" s="30">
        <v>5.6522518622352254E-2</v>
      </c>
    </row>
    <row r="53" spans="1:5" ht="14.1" customHeight="1">
      <c r="A53" s="29" t="s">
        <v>74</v>
      </c>
      <c r="B53" s="1">
        <v>155</v>
      </c>
      <c r="C53" s="15">
        <v>9801151.2533478197</v>
      </c>
      <c r="D53" s="1" t="s">
        <v>33</v>
      </c>
      <c r="E53" s="30">
        <v>1.2748188882893201</v>
      </c>
    </row>
    <row r="54" spans="1:5" ht="14.1" customHeight="1">
      <c r="A54" s="29" t="s">
        <v>75</v>
      </c>
      <c r="B54" s="1">
        <v>4</v>
      </c>
      <c r="C54" s="15">
        <v>17029.2954546127</v>
      </c>
      <c r="D54" s="1" t="s">
        <v>36</v>
      </c>
      <c r="E54" s="30">
        <v>2.2149711741653215E-3</v>
      </c>
    </row>
    <row r="55" spans="1:5" ht="14.1" customHeight="1">
      <c r="A55" s="29" t="s">
        <v>76</v>
      </c>
      <c r="B55" s="1">
        <v>17</v>
      </c>
      <c r="C55" s="15">
        <v>360.48381209112398</v>
      </c>
      <c r="D55" s="1" t="s">
        <v>36</v>
      </c>
      <c r="E55" s="30">
        <v>4.6887509507552177E-5</v>
      </c>
    </row>
    <row r="56" spans="1:5" ht="14.1" customHeight="1">
      <c r="A56" s="29" t="s">
        <v>77</v>
      </c>
      <c r="B56" s="1">
        <v>126</v>
      </c>
      <c r="C56" s="15">
        <v>556707.01049275801</v>
      </c>
      <c r="D56" s="1" t="s">
        <v>10</v>
      </c>
      <c r="E56" s="30">
        <v>7.2409923474738055E-2</v>
      </c>
    </row>
    <row r="57" spans="1:5" ht="14.1" customHeight="1">
      <c r="A57" s="29" t="s">
        <v>78</v>
      </c>
      <c r="B57" s="1">
        <v>26</v>
      </c>
      <c r="C57" s="15">
        <v>153154.31627738901</v>
      </c>
      <c r="D57" s="1" t="s">
        <v>36</v>
      </c>
      <c r="E57" s="30">
        <v>1.9920518535693616E-2</v>
      </c>
    </row>
    <row r="58" spans="1:5" ht="14.1" customHeight="1">
      <c r="A58" s="29" t="s">
        <v>79</v>
      </c>
      <c r="B58" s="1">
        <v>65</v>
      </c>
      <c r="C58" s="15">
        <v>47158.656821981102</v>
      </c>
      <c r="D58" s="1" t="s">
        <v>58</v>
      </c>
      <c r="E58" s="30">
        <v>6.1338453931603695E-3</v>
      </c>
    </row>
    <row r="59" spans="1:5" ht="14.1" customHeight="1">
      <c r="A59" s="29" t="s">
        <v>80</v>
      </c>
      <c r="B59" s="1">
        <v>3</v>
      </c>
      <c r="C59" s="15">
        <v>160131.425608241</v>
      </c>
      <c r="D59" s="1" t="s">
        <v>36</v>
      </c>
      <c r="E59" s="30">
        <v>2.0828019147684645E-2</v>
      </c>
    </row>
    <row r="60" spans="1:5" ht="14.1" customHeight="1">
      <c r="A60" s="29" t="s">
        <v>81</v>
      </c>
      <c r="B60" s="1">
        <v>14</v>
      </c>
      <c r="C60" s="15">
        <v>1850151.0575683799</v>
      </c>
      <c r="D60" s="1" t="s">
        <v>31</v>
      </c>
      <c r="E60" s="30">
        <v>0.24064596631655821</v>
      </c>
    </row>
    <row r="61" spans="1:5" ht="14.1" customHeight="1">
      <c r="A61" s="29" t="s">
        <v>82</v>
      </c>
      <c r="B61" s="1">
        <v>1</v>
      </c>
      <c r="C61" s="15">
        <v>28876.639258710398</v>
      </c>
      <c r="D61" s="1" t="s">
        <v>83</v>
      </c>
      <c r="E61" s="30">
        <v>3.7559348086528849E-3</v>
      </c>
    </row>
    <row r="62" spans="1:5" ht="14.1" customHeight="1">
      <c r="A62" s="29" t="s">
        <v>84</v>
      </c>
      <c r="B62" s="1">
        <v>11</v>
      </c>
      <c r="C62" s="15">
        <v>247.45893708400499</v>
      </c>
      <c r="D62" s="1" t="s">
        <v>36</v>
      </c>
      <c r="E62" s="30">
        <v>3.2186558386488855E-5</v>
      </c>
    </row>
    <row r="63" spans="1:5" ht="13.5" thickBot="1">
      <c r="A63" s="31" t="s">
        <v>85</v>
      </c>
      <c r="B63" s="4">
        <v>10339</v>
      </c>
      <c r="C63" s="16">
        <v>137501551.06508008</v>
      </c>
      <c r="D63" s="3" t="s">
        <v>86</v>
      </c>
      <c r="E63" s="32">
        <v>17.884590282898465</v>
      </c>
    </row>
    <row r="64" spans="1:5">
      <c r="A64" s="33"/>
      <c r="B64" s="34"/>
      <c r="C64" s="34"/>
      <c r="D64" s="34"/>
      <c r="E64" s="35"/>
    </row>
    <row r="65" spans="1:8">
      <c r="A65" s="29" t="s">
        <v>88</v>
      </c>
      <c r="B65" s="1">
        <v>281</v>
      </c>
      <c r="C65" s="1"/>
      <c r="D65" s="1"/>
      <c r="E65" s="36"/>
    </row>
    <row r="66" spans="1:8">
      <c r="A66" s="29"/>
      <c r="B66" s="1"/>
      <c r="C66" s="1"/>
      <c r="D66" s="1"/>
      <c r="E66" s="36"/>
    </row>
    <row r="67" spans="1:8">
      <c r="A67" s="37" t="s">
        <v>1168</v>
      </c>
      <c r="B67" s="7">
        <v>10620</v>
      </c>
      <c r="C67" s="7">
        <v>139049654.31142113</v>
      </c>
      <c r="D67" s="6"/>
      <c r="E67" s="38">
        <v>18.085949409846279</v>
      </c>
    </row>
    <row r="68" spans="1:8">
      <c r="A68" s="29"/>
      <c r="B68" s="1"/>
      <c r="C68" s="1"/>
      <c r="D68" s="1"/>
      <c r="E68" s="36"/>
    </row>
    <row r="69" spans="1:8">
      <c r="A69" s="39" t="s">
        <v>87</v>
      </c>
      <c r="B69" s="9">
        <v>768826956</v>
      </c>
      <c r="C69" s="8"/>
      <c r="D69" s="8"/>
      <c r="E69" s="40"/>
    </row>
    <row r="70" spans="1:8">
      <c r="A70" s="29"/>
      <c r="B70" s="1"/>
      <c r="C70" s="1"/>
      <c r="D70" s="1"/>
      <c r="E70" s="36"/>
    </row>
    <row r="71" spans="1:8" ht="25.5">
      <c r="A71" s="41" t="s">
        <v>89</v>
      </c>
      <c r="B71" s="1"/>
      <c r="C71" s="10">
        <v>17.884590282898465</v>
      </c>
      <c r="D71" s="1"/>
      <c r="E71" s="36"/>
    </row>
    <row r="72" spans="1:8" ht="13.5" thickBot="1">
      <c r="A72" s="29"/>
      <c r="B72" s="1"/>
      <c r="C72" s="1"/>
      <c r="D72" s="1"/>
      <c r="E72" s="36"/>
    </row>
    <row r="73" spans="1:8" ht="25.5">
      <c r="A73" s="42" t="s">
        <v>90</v>
      </c>
      <c r="B73" s="11" t="s">
        <v>91</v>
      </c>
      <c r="C73" s="11" t="s">
        <v>92</v>
      </c>
      <c r="D73" s="11"/>
      <c r="E73" s="43"/>
    </row>
    <row r="74" spans="1:8" ht="14.1" customHeight="1">
      <c r="A74" s="29" t="s">
        <v>11</v>
      </c>
      <c r="B74" s="1">
        <v>1</v>
      </c>
      <c r="C74" s="2">
        <v>2112.61865234375</v>
      </c>
      <c r="D74" s="1" t="s">
        <v>12</v>
      </c>
      <c r="E74" s="30">
        <v>2.7478467499827746E-4</v>
      </c>
    </row>
    <row r="75" spans="1:8" ht="14.1" customHeight="1">
      <c r="A75" s="29" t="s">
        <v>23</v>
      </c>
      <c r="B75" s="1">
        <v>3</v>
      </c>
      <c r="C75" s="2">
        <v>403.73463970878601</v>
      </c>
      <c r="D75" s="1" t="s">
        <v>36</v>
      </c>
      <c r="E75" s="30">
        <v>5.2513070276477919E-5</v>
      </c>
    </row>
    <row r="76" spans="1:8" ht="14.1" customHeight="1">
      <c r="A76" s="29" t="s">
        <v>27</v>
      </c>
      <c r="B76" s="1">
        <v>1</v>
      </c>
      <c r="C76" s="2">
        <v>418.399567464526</v>
      </c>
      <c r="D76" s="1" t="s">
        <v>28</v>
      </c>
      <c r="E76" s="30">
        <v>5.4420512210100761E-5</v>
      </c>
    </row>
    <row r="77" spans="1:8" ht="14.1" customHeight="1">
      <c r="A77" s="29" t="s">
        <v>34</v>
      </c>
      <c r="B77" s="1">
        <v>1</v>
      </c>
      <c r="C77" s="2">
        <v>482.95079907720901</v>
      </c>
      <c r="D77" s="1" t="s">
        <v>31</v>
      </c>
      <c r="E77" s="30">
        <v>6.2816579895932912E-5</v>
      </c>
    </row>
    <row r="78" spans="1:8" ht="14.1" customHeight="1">
      <c r="A78" s="29" t="s">
        <v>35</v>
      </c>
      <c r="B78" s="1">
        <v>44</v>
      </c>
      <c r="C78" s="2">
        <v>102628.628996403</v>
      </c>
      <c r="D78" s="1" t="s">
        <v>36</v>
      </c>
      <c r="E78" s="30">
        <v>1.3348729281079344E-2</v>
      </c>
      <c r="H78" s="22"/>
    </row>
    <row r="79" spans="1:8" ht="14.1" customHeight="1">
      <c r="A79" s="29" t="s">
        <v>41</v>
      </c>
      <c r="B79" s="1">
        <v>11</v>
      </c>
      <c r="C79" s="2">
        <v>226102.713955188</v>
      </c>
      <c r="D79" s="1" t="s">
        <v>93</v>
      </c>
      <c r="E79" s="30">
        <v>2.9408791170842871E-2</v>
      </c>
    </row>
    <row r="80" spans="1:8" ht="14.1" customHeight="1">
      <c r="A80" s="29" t="s">
        <v>44</v>
      </c>
      <c r="B80" s="1">
        <v>7</v>
      </c>
      <c r="C80" s="2">
        <v>5.1379856592504103</v>
      </c>
      <c r="D80" s="1" t="s">
        <v>36</v>
      </c>
      <c r="E80" s="30">
        <v>6.6828895880315758E-7</v>
      </c>
    </row>
    <row r="81" spans="1:8" ht="14.1" customHeight="1">
      <c r="A81" s="29" t="s">
        <v>45</v>
      </c>
      <c r="B81" s="1">
        <v>1</v>
      </c>
      <c r="C81" s="2">
        <v>6.4037803942712296E-4</v>
      </c>
      <c r="D81" s="1" t="s">
        <v>36</v>
      </c>
      <c r="E81" s="30">
        <v>8.329287031750783E-11</v>
      </c>
    </row>
    <row r="82" spans="1:8" ht="14.1" customHeight="1">
      <c r="A82" s="29" t="s">
        <v>47</v>
      </c>
      <c r="B82" s="1">
        <v>1</v>
      </c>
      <c r="C82" s="2">
        <v>1.41328757541519E-2</v>
      </c>
      <c r="D82" s="1" t="s">
        <v>36</v>
      </c>
      <c r="E82" s="30">
        <v>1.8382388447566217E-9</v>
      </c>
    </row>
    <row r="83" spans="1:8" ht="14.1" customHeight="1">
      <c r="A83" s="29" t="s">
        <v>52</v>
      </c>
      <c r="B83" s="1">
        <v>1</v>
      </c>
      <c r="C83" s="2">
        <v>1.4881820449292101E-2</v>
      </c>
      <c r="D83" s="1" t="s">
        <v>36</v>
      </c>
      <c r="E83" s="30">
        <v>1.935652793278505E-9</v>
      </c>
    </row>
    <row r="84" spans="1:8" ht="14.1" customHeight="1">
      <c r="A84" s="29" t="s">
        <v>53</v>
      </c>
      <c r="B84" s="1">
        <v>17</v>
      </c>
      <c r="C84" s="2">
        <v>96466.230251704605</v>
      </c>
      <c r="D84" s="1" t="s">
        <v>36</v>
      </c>
      <c r="E84" s="30">
        <v>1.2547196673955407E-2</v>
      </c>
      <c r="H84" s="22"/>
    </row>
    <row r="85" spans="1:8" ht="14.1" customHeight="1">
      <c r="A85" s="29" t="s">
        <v>54</v>
      </c>
      <c r="B85" s="1">
        <v>20</v>
      </c>
      <c r="C85" s="2">
        <v>3.3225891746061</v>
      </c>
      <c r="D85" s="1" t="s">
        <v>36</v>
      </c>
      <c r="E85" s="30">
        <v>4.3216346001870675E-7</v>
      </c>
    </row>
    <row r="86" spans="1:8" ht="14.1" customHeight="1">
      <c r="A86" s="29" t="s">
        <v>55</v>
      </c>
      <c r="B86" s="1">
        <v>2</v>
      </c>
      <c r="C86" s="2">
        <v>2.3261201267842902E-3</v>
      </c>
      <c r="D86" s="1" t="s">
        <v>36</v>
      </c>
      <c r="E86" s="30">
        <v>3.0255444461605094E-10</v>
      </c>
    </row>
    <row r="87" spans="1:8" ht="14.1" customHeight="1">
      <c r="A87" s="29" t="s">
        <v>62</v>
      </c>
      <c r="B87" s="1">
        <v>7</v>
      </c>
      <c r="C87" s="2">
        <v>61338.949820712201</v>
      </c>
      <c r="D87" s="1" t="s">
        <v>94</v>
      </c>
      <c r="E87" s="30">
        <v>7.9782517173750348E-3</v>
      </c>
    </row>
    <row r="88" spans="1:8" ht="14.1" customHeight="1">
      <c r="A88" s="29" t="s">
        <v>63</v>
      </c>
      <c r="B88" s="1">
        <v>2</v>
      </c>
      <c r="C88" s="2">
        <v>0.13448239379593299</v>
      </c>
      <c r="D88" s="1" t="s">
        <v>36</v>
      </c>
      <c r="E88" s="30">
        <v>1.7491893689004966E-8</v>
      </c>
    </row>
    <row r="89" spans="1:8" ht="14.1" customHeight="1">
      <c r="A89" s="29" t="s">
        <v>69</v>
      </c>
      <c r="B89" s="1">
        <v>1</v>
      </c>
      <c r="C89" s="2">
        <v>4.8744253657423501E-4</v>
      </c>
      <c r="D89" s="1" t="s">
        <v>36</v>
      </c>
      <c r="E89" s="30">
        <v>6.3400812467641285E-11</v>
      </c>
    </row>
    <row r="90" spans="1:8" ht="14.1" customHeight="1">
      <c r="A90" s="29" t="s">
        <v>71</v>
      </c>
      <c r="B90" s="1">
        <v>104</v>
      </c>
      <c r="C90" s="2">
        <v>89399.929338747999</v>
      </c>
      <c r="D90" s="1" t="s">
        <v>36</v>
      </c>
      <c r="E90" s="30">
        <v>1.162809506626456E-2</v>
      </c>
      <c r="H90" s="22"/>
    </row>
    <row r="91" spans="1:8" ht="14.1" customHeight="1">
      <c r="A91" s="29" t="s">
        <v>75</v>
      </c>
      <c r="B91" s="1">
        <v>4</v>
      </c>
      <c r="C91" s="2">
        <v>21892.300466331901</v>
      </c>
      <c r="D91" s="1" t="s">
        <v>36</v>
      </c>
      <c r="E91" s="30">
        <v>2.847493873033752E-3</v>
      </c>
    </row>
    <row r="92" spans="1:8" ht="14.1" customHeight="1">
      <c r="A92" s="29" t="s">
        <v>76</v>
      </c>
      <c r="B92" s="1">
        <v>21</v>
      </c>
      <c r="C92" s="2">
        <v>261977.29201092501</v>
      </c>
      <c r="D92" s="1" t="s">
        <v>36</v>
      </c>
      <c r="E92" s="30">
        <v>3.4074935844331272E-2</v>
      </c>
      <c r="H92" s="22"/>
    </row>
    <row r="93" spans="1:8" ht="14.1" customHeight="1">
      <c r="A93" s="29" t="s">
        <v>78</v>
      </c>
      <c r="B93" s="1">
        <v>11</v>
      </c>
      <c r="C93" s="2">
        <v>4853.6863840160704</v>
      </c>
      <c r="D93" s="1" t="s">
        <v>36</v>
      </c>
      <c r="E93" s="30">
        <v>6.3131064098851265E-4</v>
      </c>
    </row>
    <row r="94" spans="1:8" ht="14.1" customHeight="1">
      <c r="A94" s="29" t="s">
        <v>80</v>
      </c>
      <c r="B94" s="1">
        <v>2</v>
      </c>
      <c r="C94" s="2">
        <v>39827.066924914703</v>
      </c>
      <c r="D94" s="1" t="s">
        <v>36</v>
      </c>
      <c r="E94" s="30">
        <v>5.1802381035290735E-3</v>
      </c>
    </row>
    <row r="95" spans="1:8" ht="14.1" customHeight="1">
      <c r="A95" s="29" t="s">
        <v>84</v>
      </c>
      <c r="B95" s="1">
        <v>19</v>
      </c>
      <c r="C95" s="2">
        <v>640190.11700764799</v>
      </c>
      <c r="D95" s="1" t="s">
        <v>36</v>
      </c>
      <c r="E95" s="30">
        <v>8.3268427571580622E-2</v>
      </c>
      <c r="H95" s="22"/>
    </row>
    <row r="96" spans="1:8" ht="13.5" thickBot="1">
      <c r="A96" s="31" t="s">
        <v>95</v>
      </c>
      <c r="B96" s="4">
        <v>281</v>
      </c>
      <c r="C96" s="4">
        <v>1548103.2463410504</v>
      </c>
      <c r="D96" s="3" t="s">
        <v>86</v>
      </c>
      <c r="E96" s="32">
        <v>0.20135912694781349</v>
      </c>
      <c r="H96" s="22"/>
    </row>
    <row r="98" spans="1:4">
      <c r="A98" s="48" t="s">
        <v>1171</v>
      </c>
      <c r="B98" s="48"/>
      <c r="C98" s="47"/>
      <c r="D98" s="47"/>
    </row>
    <row r="99" spans="1:4" ht="50.1" customHeight="1">
      <c r="A99" s="87" t="s">
        <v>306</v>
      </c>
      <c r="B99" s="87"/>
      <c r="C99" s="87"/>
      <c r="D99" s="87"/>
    </row>
  </sheetData>
  <mergeCells count="2">
    <mergeCell ref="A1:E1"/>
    <mergeCell ref="A99:D9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selection activeCell="A2" sqref="A2"/>
    </sheetView>
  </sheetViews>
  <sheetFormatPr defaultRowHeight="12.75"/>
  <cols>
    <col min="1" max="1" width="12.7109375" style="13" customWidth="1"/>
    <col min="2" max="2" width="20.7109375" style="13" customWidth="1"/>
    <col min="3" max="3" width="15.7109375" style="13" customWidth="1"/>
    <col min="4" max="7" width="20.7109375" style="13" customWidth="1"/>
    <col min="8" max="16384" width="9.140625" style="13"/>
  </cols>
  <sheetData>
    <row r="1" spans="1:8" ht="13.5" thickBot="1">
      <c r="A1" s="86" t="s">
        <v>96</v>
      </c>
      <c r="B1" s="86"/>
      <c r="C1" s="86"/>
      <c r="D1" s="86"/>
      <c r="E1" s="86"/>
      <c r="F1" s="86"/>
      <c r="G1" s="86"/>
    </row>
    <row r="2" spans="1:8" s="54" customFormat="1" ht="25.5">
      <c r="A2" s="52" t="s">
        <v>97</v>
      </c>
      <c r="B2" s="52" t="s">
        <v>98</v>
      </c>
      <c r="C2" s="52" t="s">
        <v>2</v>
      </c>
      <c r="D2" s="52" t="s">
        <v>99</v>
      </c>
      <c r="E2" s="52" t="s">
        <v>100</v>
      </c>
      <c r="F2" s="52" t="s">
        <v>101</v>
      </c>
      <c r="G2" s="52" t="s">
        <v>102</v>
      </c>
      <c r="H2" s="53"/>
    </row>
    <row r="3" spans="1:8" ht="14.1" customHeight="1">
      <c r="A3" s="1" t="s">
        <v>83</v>
      </c>
      <c r="B3" s="12">
        <v>235813</v>
      </c>
      <c r="C3" s="12">
        <v>46</v>
      </c>
      <c r="D3" s="12">
        <v>130213.91164658801</v>
      </c>
      <c r="E3" s="12">
        <v>2830.7372097084349</v>
      </c>
      <c r="F3" s="2">
        <v>55.219140440343836</v>
      </c>
      <c r="G3" s="2">
        <v>9.4696122911148081E-2</v>
      </c>
      <c r="H3" s="24"/>
    </row>
    <row r="4" spans="1:8" ht="14.1" customHeight="1">
      <c r="A4" s="1" t="s">
        <v>12</v>
      </c>
      <c r="B4" s="12">
        <v>0</v>
      </c>
      <c r="C4" s="12">
        <v>19</v>
      </c>
      <c r="D4" s="12">
        <v>42222.5558929443</v>
      </c>
      <c r="E4" s="12">
        <v>2222.2397838391735</v>
      </c>
      <c r="F4" s="2">
        <v>0</v>
      </c>
      <c r="G4" s="2">
        <v>3.0705723312520129E-2</v>
      </c>
      <c r="H4" s="24"/>
    </row>
    <row r="5" spans="1:8" ht="14.1" customHeight="1">
      <c r="A5" s="1" t="s">
        <v>10</v>
      </c>
      <c r="B5" s="12">
        <v>80121268</v>
      </c>
      <c r="C5" s="12">
        <v>925</v>
      </c>
      <c r="D5" s="51">
        <v>7293630.3637753846</v>
      </c>
      <c r="E5" s="12">
        <v>7885.0057986760912</v>
      </c>
      <c r="F5" s="2">
        <v>9.1032388101688362</v>
      </c>
      <c r="G5" s="2">
        <v>5.3041837747038709</v>
      </c>
      <c r="H5" s="24"/>
    </row>
    <row r="6" spans="1:8" ht="14.1" customHeight="1">
      <c r="A6" s="1" t="s">
        <v>19</v>
      </c>
      <c r="B6" s="12">
        <v>134778762</v>
      </c>
      <c r="C6" s="12">
        <v>81</v>
      </c>
      <c r="D6" s="51">
        <v>25129385.952061232</v>
      </c>
      <c r="E6" s="12">
        <v>310239.33274149668</v>
      </c>
      <c r="F6" s="2">
        <v>18.644915251604129</v>
      </c>
      <c r="G6" s="2">
        <v>18.274970705562264</v>
      </c>
      <c r="H6" s="24"/>
    </row>
    <row r="7" spans="1:8" ht="14.1" customHeight="1">
      <c r="A7" s="1" t="s">
        <v>28</v>
      </c>
      <c r="B7" s="12">
        <v>172973671</v>
      </c>
      <c r="C7" s="12">
        <v>1086</v>
      </c>
      <c r="D7" s="12">
        <v>14108221.9612401</v>
      </c>
      <c r="E7" s="12">
        <v>12990.996281068232</v>
      </c>
      <c r="F7" s="2">
        <v>8.156282906917145</v>
      </c>
      <c r="G7" s="2">
        <v>10.259993759540501</v>
      </c>
      <c r="H7" s="24"/>
    </row>
    <row r="8" spans="1:8" ht="14.1" customHeight="1">
      <c r="A8" s="1" t="s">
        <v>31</v>
      </c>
      <c r="B8" s="12">
        <v>98422137</v>
      </c>
      <c r="C8" s="12">
        <v>1995</v>
      </c>
      <c r="D8" s="12">
        <v>29394607.3444045</v>
      </c>
      <c r="E8" s="12">
        <v>14734.139019751628</v>
      </c>
      <c r="F8" s="2">
        <v>29.865849533834549</v>
      </c>
      <c r="G8" s="2">
        <v>21.376789275522867</v>
      </c>
      <c r="H8" s="24"/>
    </row>
    <row r="9" spans="1:8" ht="14.1" customHeight="1">
      <c r="A9" s="1" t="s">
        <v>58</v>
      </c>
      <c r="B9" s="12">
        <v>6840133</v>
      </c>
      <c r="C9" s="12">
        <v>1524</v>
      </c>
      <c r="D9" s="12">
        <v>3015706.7097068601</v>
      </c>
      <c r="E9" s="12">
        <v>1978.8101769730054</v>
      </c>
      <c r="F9" s="2">
        <v>44.088422106804941</v>
      </c>
      <c r="G9" s="2">
        <v>2.1931276745717647</v>
      </c>
      <c r="H9" s="24"/>
    </row>
    <row r="10" spans="1:8" ht="14.1" customHeight="1">
      <c r="A10" s="1" t="s">
        <v>36</v>
      </c>
      <c r="B10" s="12">
        <v>22754364</v>
      </c>
      <c r="C10" s="12">
        <v>3056</v>
      </c>
      <c r="D10" s="12">
        <v>4012123.7184593002</v>
      </c>
      <c r="E10" s="12">
        <v>1312.8677089199282</v>
      </c>
      <c r="F10" s="2">
        <v>17.632326346099152</v>
      </c>
      <c r="G10" s="2">
        <v>2.9177570658435079</v>
      </c>
      <c r="H10" s="24"/>
    </row>
    <row r="11" spans="1:8" ht="14.1" customHeight="1">
      <c r="A11" s="1" t="s">
        <v>7</v>
      </c>
      <c r="B11" s="12">
        <v>252700808</v>
      </c>
      <c r="C11" s="12">
        <v>1607</v>
      </c>
      <c r="D11" s="12">
        <v>54375438.519890703</v>
      </c>
      <c r="E11" s="12">
        <v>33836.613889166583</v>
      </c>
      <c r="F11" s="2">
        <v>21.517714545610279</v>
      </c>
      <c r="G11" s="2">
        <v>39.543725738017713</v>
      </c>
      <c r="H11" s="24"/>
    </row>
    <row r="12" spans="1:8" ht="13.5" thickBot="1">
      <c r="A12" s="3" t="s">
        <v>85</v>
      </c>
      <c r="B12" s="4">
        <v>768826956</v>
      </c>
      <c r="C12" s="4">
        <v>10339</v>
      </c>
      <c r="D12" s="4">
        <v>137501551.03707761</v>
      </c>
      <c r="E12" s="4">
        <v>13299.308544063992</v>
      </c>
      <c r="F12" s="5">
        <v>17.884590279256233</v>
      </c>
      <c r="G12" s="5">
        <v>99.995949839986167</v>
      </c>
      <c r="H12" s="24"/>
    </row>
    <row r="13" spans="1:8">
      <c r="A13" s="13" t="s">
        <v>103</v>
      </c>
      <c r="C13" s="12">
        <v>768826956</v>
      </c>
    </row>
    <row r="14" spans="1:8">
      <c r="A14" s="23"/>
      <c r="B14" s="23"/>
    </row>
    <row r="16" spans="1:8" ht="15" customHeight="1">
      <c r="A16" s="48" t="s">
        <v>1171</v>
      </c>
      <c r="B16" s="48"/>
      <c r="C16" s="47"/>
      <c r="D16" s="47"/>
    </row>
    <row r="17" spans="1:6" ht="43.5" customHeight="1">
      <c r="A17" s="88" t="s">
        <v>306</v>
      </c>
      <c r="B17" s="88"/>
      <c r="C17" s="88"/>
      <c r="D17" s="88"/>
    </row>
    <row r="18" spans="1:6" ht="50.1" customHeight="1">
      <c r="A18" s="87" t="s">
        <v>104</v>
      </c>
      <c r="B18" s="87"/>
      <c r="C18" s="87"/>
      <c r="D18" s="87"/>
    </row>
    <row r="19" spans="1:6">
      <c r="F19" s="49"/>
    </row>
    <row r="20" spans="1:6">
      <c r="F20" s="49"/>
    </row>
    <row r="21" spans="1:6">
      <c r="F21" s="50"/>
    </row>
    <row r="22" spans="1:6">
      <c r="F22" s="49"/>
    </row>
    <row r="23" spans="1:6">
      <c r="F23" s="49"/>
    </row>
    <row r="24" spans="1:6">
      <c r="F24" s="49"/>
    </row>
    <row r="25" spans="1:6">
      <c r="F25" s="49"/>
    </row>
  </sheetData>
  <mergeCells count="3">
    <mergeCell ref="A1:G1"/>
    <mergeCell ref="A18:D18"/>
    <mergeCell ref="A17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A2" sqref="A2"/>
    </sheetView>
  </sheetViews>
  <sheetFormatPr defaultRowHeight="12.75"/>
  <cols>
    <col min="1" max="1" width="13.5703125" style="13" customWidth="1"/>
    <col min="2" max="2" width="12.7109375" style="13" customWidth="1"/>
    <col min="3" max="5" width="20.7109375" style="13" customWidth="1"/>
    <col min="6" max="6" width="12.7109375" style="13" customWidth="1"/>
    <col min="7" max="16384" width="9.140625" style="13"/>
  </cols>
  <sheetData>
    <row r="1" spans="1:8" ht="13.5" thickBot="1">
      <c r="A1" s="86" t="s">
        <v>105</v>
      </c>
      <c r="B1" s="86"/>
      <c r="C1" s="86"/>
      <c r="D1" s="86"/>
      <c r="E1" s="86"/>
      <c r="F1" s="86"/>
    </row>
    <row r="2" spans="1:8" ht="25.5">
      <c r="A2" s="20" t="s">
        <v>106</v>
      </c>
      <c r="B2" s="20" t="s">
        <v>2</v>
      </c>
      <c r="C2" s="20" t="s">
        <v>107</v>
      </c>
      <c r="D2" s="20" t="s">
        <v>100</v>
      </c>
      <c r="E2" s="20" t="s">
        <v>5</v>
      </c>
      <c r="F2" s="20" t="s">
        <v>102</v>
      </c>
      <c r="G2" s="24"/>
    </row>
    <row r="3" spans="1:8" ht="14.1" customHeight="1">
      <c r="A3" s="1" t="s">
        <v>108</v>
      </c>
      <c r="B3" s="12">
        <v>67</v>
      </c>
      <c r="C3" s="12">
        <v>55028856.235243097</v>
      </c>
      <c r="D3" s="12">
        <v>821326.2124663149</v>
      </c>
      <c r="E3" s="2">
        <v>7.1575086963057908</v>
      </c>
      <c r="F3" s="2">
        <v>40.018914014776257</v>
      </c>
      <c r="G3" s="24"/>
    </row>
    <row r="4" spans="1:8" ht="14.1" customHeight="1">
      <c r="A4" s="1" t="s">
        <v>109</v>
      </c>
      <c r="B4" s="12">
        <v>7295</v>
      </c>
      <c r="C4" s="12">
        <v>65685097.931883499</v>
      </c>
      <c r="D4" s="12">
        <v>9004.1258302787519</v>
      </c>
      <c r="E4" s="2">
        <v>8.5435477280382326</v>
      </c>
      <c r="F4" s="2">
        <v>47.768506671317901</v>
      </c>
      <c r="G4" s="24"/>
    </row>
    <row r="5" spans="1:8" ht="14.1" customHeight="1">
      <c r="A5" s="1" t="s">
        <v>110</v>
      </c>
      <c r="B5" s="12">
        <v>1754</v>
      </c>
      <c r="C5" s="56">
        <v>9546680.7427750006</v>
      </c>
      <c r="D5" s="12">
        <v>5442.8054405786779</v>
      </c>
      <c r="E5" s="2">
        <v>1.2417203465970827</v>
      </c>
      <c r="F5" s="2">
        <v>6.942681020634252</v>
      </c>
      <c r="G5" s="24"/>
    </row>
    <row r="6" spans="1:8" ht="14.1" customHeight="1">
      <c r="A6" s="1" t="s">
        <v>111</v>
      </c>
      <c r="B6" s="12">
        <v>1223</v>
      </c>
      <c r="C6" s="12">
        <v>7240916.1551781502</v>
      </c>
      <c r="D6" s="12">
        <v>5920.6182789682343</v>
      </c>
      <c r="E6" s="2">
        <v>0.94181351195731877</v>
      </c>
      <c r="F6" s="2">
        <v>5.2658481536218789</v>
      </c>
      <c r="G6" s="24"/>
    </row>
    <row r="7" spans="1:8" ht="13.5" thickBot="1">
      <c r="A7" s="3" t="s">
        <v>85</v>
      </c>
      <c r="B7" s="4">
        <v>10339</v>
      </c>
      <c r="C7" s="4">
        <v>137501551.06507975</v>
      </c>
      <c r="D7" s="4">
        <v>13299.30854677239</v>
      </c>
      <c r="E7" s="5">
        <v>17.884590282898426</v>
      </c>
      <c r="F7" s="5">
        <v>99.995949860350279</v>
      </c>
      <c r="G7" s="24"/>
    </row>
    <row r="8" spans="1:8">
      <c r="A8" s="13" t="s">
        <v>103</v>
      </c>
      <c r="C8" s="12">
        <v>768826956</v>
      </c>
    </row>
    <row r="9" spans="1:8">
      <c r="A9" s="23"/>
      <c r="B9" s="23"/>
    </row>
    <row r="10" spans="1:8">
      <c r="H10" s="22"/>
    </row>
    <row r="11" spans="1:8">
      <c r="A11" s="48" t="s">
        <v>1171</v>
      </c>
      <c r="B11" s="48"/>
      <c r="C11" s="47"/>
      <c r="D11" s="47"/>
    </row>
    <row r="12" spans="1:8">
      <c r="A12" s="47"/>
      <c r="B12" s="47"/>
      <c r="C12" s="47"/>
      <c r="D12" s="47"/>
    </row>
    <row r="13" spans="1:8" ht="29.25" customHeight="1">
      <c r="A13" s="87" t="s">
        <v>104</v>
      </c>
      <c r="B13" s="87"/>
      <c r="C13" s="87"/>
      <c r="D13" s="87"/>
    </row>
    <row r="14" spans="1:8">
      <c r="E14" s="17"/>
    </row>
  </sheetData>
  <mergeCells count="2">
    <mergeCell ref="A1:F1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selection activeCell="A2" sqref="A2"/>
    </sheetView>
  </sheetViews>
  <sheetFormatPr defaultRowHeight="12.75"/>
  <cols>
    <col min="1" max="1" width="42.5703125" style="13" customWidth="1"/>
    <col min="2" max="2" width="8.140625" style="13" bestFit="1" customWidth="1"/>
    <col min="3" max="3" width="12.28515625" style="13" bestFit="1" customWidth="1"/>
    <col min="4" max="4" width="12.7109375" style="13" customWidth="1"/>
    <col min="5" max="5" width="9" style="13" bestFit="1" customWidth="1"/>
    <col min="6" max="6" width="12.140625" style="13" bestFit="1" customWidth="1"/>
    <col min="7" max="8" width="9.140625" style="13"/>
    <col min="9" max="9" width="16.28515625" style="13" bestFit="1" customWidth="1"/>
    <col min="10" max="16384" width="9.140625" style="13"/>
  </cols>
  <sheetData>
    <row r="1" spans="1:9" ht="13.5" thickBot="1">
      <c r="A1" s="86" t="s">
        <v>112</v>
      </c>
      <c r="B1" s="86"/>
      <c r="C1" s="86"/>
      <c r="D1" s="86"/>
      <c r="E1" s="86"/>
      <c r="F1" s="86"/>
    </row>
    <row r="2" spans="1:9" s="54" customFormat="1" ht="25.5">
      <c r="A2" s="52" t="s">
        <v>113</v>
      </c>
      <c r="B2" s="52" t="s">
        <v>2</v>
      </c>
      <c r="C2" s="52" t="s">
        <v>114</v>
      </c>
      <c r="D2" s="52" t="s">
        <v>100</v>
      </c>
      <c r="E2" s="52" t="s">
        <v>5</v>
      </c>
      <c r="F2" s="52" t="s">
        <v>102</v>
      </c>
      <c r="G2" s="53"/>
    </row>
    <row r="3" spans="1:9" ht="14.1" customHeight="1">
      <c r="A3" s="1" t="s">
        <v>115</v>
      </c>
      <c r="B3" s="12">
        <v>2413</v>
      </c>
      <c r="C3" s="12">
        <v>16137986.912715601</v>
      </c>
      <c r="D3" s="12">
        <v>6687.9348995920436</v>
      </c>
      <c r="E3" s="2">
        <v>2.0990402049216912</v>
      </c>
      <c r="F3" s="2">
        <v>11.736110012367087</v>
      </c>
      <c r="G3" s="24"/>
      <c r="H3" s="25"/>
      <c r="I3" s="25"/>
    </row>
    <row r="4" spans="1:9" ht="14.1" customHeight="1">
      <c r="A4" s="1" t="s">
        <v>116</v>
      </c>
      <c r="B4" s="12">
        <v>64</v>
      </c>
      <c r="C4" s="12">
        <v>5173202.7828957904</v>
      </c>
      <c r="D4" s="12">
        <v>80831.293482746725</v>
      </c>
      <c r="E4" s="2">
        <v>0.67286958951212816</v>
      </c>
      <c r="F4" s="2">
        <v>3.7621344784032984</v>
      </c>
      <c r="G4" s="24"/>
      <c r="H4" s="25"/>
      <c r="I4" s="25"/>
    </row>
    <row r="5" spans="1:9" ht="14.1" customHeight="1">
      <c r="A5" s="1" t="s">
        <v>117</v>
      </c>
      <c r="B5" s="12">
        <v>1086</v>
      </c>
      <c r="C5" s="56">
        <v>38053577.770896003</v>
      </c>
      <c r="D5" s="12">
        <v>35040.126860861878</v>
      </c>
      <c r="E5" s="2">
        <v>4.9495634191702305</v>
      </c>
      <c r="F5" s="2">
        <v>27.673896223791829</v>
      </c>
      <c r="G5" s="24"/>
      <c r="H5" s="25"/>
      <c r="I5" s="25"/>
    </row>
    <row r="6" spans="1:9" ht="14.1" customHeight="1">
      <c r="A6" s="1" t="s">
        <v>118</v>
      </c>
      <c r="B6" s="12">
        <v>2414</v>
      </c>
      <c r="C6" s="12">
        <v>8060171.8255562503</v>
      </c>
      <c r="D6" s="12">
        <v>3338.9278482006007</v>
      </c>
      <c r="E6" s="2">
        <v>1.0483726881132209</v>
      </c>
      <c r="F6" s="2">
        <v>5.8616396069063326</v>
      </c>
      <c r="G6" s="24"/>
      <c r="H6" s="25"/>
      <c r="I6" s="25"/>
    </row>
    <row r="7" spans="1:9" ht="14.1" customHeight="1">
      <c r="A7" s="1" t="s">
        <v>119</v>
      </c>
      <c r="B7" s="12">
        <v>2783</v>
      </c>
      <c r="C7" s="12">
        <v>3107345.996673</v>
      </c>
      <c r="D7" s="12">
        <v>1116.5454533499822</v>
      </c>
      <c r="E7" s="2">
        <v>0.40416715002289799</v>
      </c>
      <c r="F7" s="2">
        <v>2.2597709776743242</v>
      </c>
      <c r="G7" s="24"/>
      <c r="H7" s="25"/>
      <c r="I7" s="25"/>
    </row>
    <row r="8" spans="1:9">
      <c r="A8" s="8" t="s">
        <v>123</v>
      </c>
      <c r="B8" s="9">
        <v>8760</v>
      </c>
      <c r="C8" s="9">
        <v>70532285.288736641</v>
      </c>
      <c r="D8" s="9">
        <v>0</v>
      </c>
      <c r="E8" s="10">
        <v>9.1740130517401681</v>
      </c>
      <c r="F8" s="10">
        <v>51.293551299142869</v>
      </c>
      <c r="G8" s="24"/>
      <c r="H8" s="25"/>
      <c r="I8" s="25"/>
    </row>
    <row r="9" spans="1:9" ht="14.1" customHeight="1">
      <c r="A9" s="1" t="s">
        <v>121</v>
      </c>
      <c r="B9" s="12">
        <v>359</v>
      </c>
      <c r="C9" s="12">
        <v>7921640.8123816503</v>
      </c>
      <c r="D9" s="12">
        <v>22065.851845074234</v>
      </c>
      <c r="E9" s="2">
        <v>1.0303541974641235</v>
      </c>
      <c r="F9" s="2">
        <v>5.7608949960986022</v>
      </c>
      <c r="G9" s="24"/>
      <c r="H9" s="25"/>
      <c r="I9" s="25"/>
    </row>
    <row r="10" spans="1:9" ht="14.1" customHeight="1">
      <c r="A10" s="1" t="s">
        <v>122</v>
      </c>
      <c r="B10" s="12">
        <v>1213</v>
      </c>
      <c r="C10" s="12">
        <v>59047220.9767894</v>
      </c>
      <c r="D10" s="12">
        <v>48678.665273527949</v>
      </c>
      <c r="E10" s="2">
        <v>7.6801704877774091</v>
      </c>
      <c r="F10" s="2">
        <v>42.941209771469495</v>
      </c>
      <c r="G10" s="24"/>
      <c r="H10" s="25"/>
      <c r="I10" s="25"/>
    </row>
    <row r="11" spans="1:9" ht="14.1" customHeight="1">
      <c r="A11" s="8" t="s">
        <v>124</v>
      </c>
      <c r="B11" s="9">
        <v>1572</v>
      </c>
      <c r="C11" s="9">
        <v>66968861.789171048</v>
      </c>
      <c r="D11" s="9">
        <v>0</v>
      </c>
      <c r="E11" s="10">
        <v>8.7105772311582417</v>
      </c>
      <c r="F11" s="10">
        <v>48.702104767568095</v>
      </c>
      <c r="G11" s="24"/>
    </row>
    <row r="12" spans="1:9" ht="14.1" customHeight="1">
      <c r="A12" s="1" t="s">
        <v>120</v>
      </c>
      <c r="B12" s="56">
        <v>7</v>
      </c>
      <c r="C12" s="56">
        <v>403.98717194212799</v>
      </c>
      <c r="D12" s="56">
        <v>57.712453134589715</v>
      </c>
      <c r="E12" s="2">
        <v>5.2545916709784043E-5</v>
      </c>
      <c r="F12" s="2">
        <v>2.9379363852142609E-4</v>
      </c>
      <c r="G12" s="24"/>
    </row>
    <row r="13" spans="1:9" ht="13.5" thickBot="1">
      <c r="A13" s="3" t="s">
        <v>85</v>
      </c>
      <c r="B13" s="4">
        <v>10339</v>
      </c>
      <c r="C13" s="4">
        <v>137501551.06507963</v>
      </c>
      <c r="D13" s="4">
        <v>13299.308546772379</v>
      </c>
      <c r="E13" s="5">
        <v>17.884590282898412</v>
      </c>
      <c r="F13" s="5">
        <v>99.995656066710964</v>
      </c>
      <c r="G13" s="24"/>
    </row>
    <row r="14" spans="1:9">
      <c r="A14" s="13" t="s">
        <v>103</v>
      </c>
      <c r="C14" s="12">
        <v>768826956</v>
      </c>
      <c r="F14" s="55"/>
      <c r="G14" s="49"/>
    </row>
    <row r="15" spans="1:9">
      <c r="A15" s="23"/>
      <c r="B15" s="23"/>
    </row>
    <row r="17" spans="1:4">
      <c r="A17" s="48" t="s">
        <v>1171</v>
      </c>
      <c r="B17" s="48"/>
      <c r="C17" s="47"/>
      <c r="D17" s="47"/>
    </row>
    <row r="18" spans="1:4" ht="20.25" customHeight="1">
      <c r="A18" s="47"/>
      <c r="B18" s="47"/>
      <c r="C18" s="47"/>
      <c r="D18" s="47"/>
    </row>
    <row r="19" spans="1:4" ht="24" customHeight="1">
      <c r="A19" s="87" t="s">
        <v>1170</v>
      </c>
      <c r="B19" s="87"/>
      <c r="C19" s="87"/>
      <c r="D19" s="87"/>
    </row>
  </sheetData>
  <mergeCells count="2">
    <mergeCell ref="A1:F1"/>
    <mergeCell ref="A19:D1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6"/>
  <sheetViews>
    <sheetView workbookViewId="0">
      <selection activeCell="A2" sqref="A2"/>
    </sheetView>
  </sheetViews>
  <sheetFormatPr defaultRowHeight="12.75"/>
  <cols>
    <col min="1" max="1" width="63.42578125" style="13" bestFit="1" customWidth="1"/>
    <col min="2" max="2" width="12.28515625" style="13" bestFit="1" customWidth="1"/>
    <col min="3" max="3" width="17.7109375" style="13" bestFit="1" customWidth="1"/>
    <col min="4" max="4" width="14.42578125" style="13" bestFit="1" customWidth="1"/>
    <col min="5" max="5" width="19.5703125" style="13" bestFit="1" customWidth="1"/>
    <col min="6" max="6" width="12.28515625" style="13" bestFit="1" customWidth="1"/>
    <col min="7" max="7" width="19.140625" style="13" bestFit="1" customWidth="1"/>
    <col min="8" max="16384" width="9.140625" style="13"/>
  </cols>
  <sheetData>
    <row r="1" spans="1:7" ht="13.5" thickBot="1">
      <c r="A1" s="86" t="s">
        <v>307</v>
      </c>
      <c r="B1" s="86"/>
      <c r="C1" s="86"/>
      <c r="D1" s="86"/>
      <c r="E1" s="86"/>
      <c r="F1" s="86"/>
      <c r="G1" s="86"/>
    </row>
    <row r="2" spans="1:7" s="54" customFormat="1" ht="38.25">
      <c r="A2" s="57" t="s">
        <v>126</v>
      </c>
      <c r="B2" s="58" t="s">
        <v>127</v>
      </c>
      <c r="C2" s="58" t="s">
        <v>4</v>
      </c>
      <c r="D2" s="58" t="s">
        <v>129</v>
      </c>
      <c r="E2" s="58" t="s">
        <v>308</v>
      </c>
      <c r="F2" s="58" t="s">
        <v>309</v>
      </c>
      <c r="G2" s="59" t="s">
        <v>310</v>
      </c>
    </row>
    <row r="3" spans="1:7" ht="14.1" customHeight="1">
      <c r="A3" s="29" t="s">
        <v>130</v>
      </c>
      <c r="B3" s="1" t="s">
        <v>131</v>
      </c>
      <c r="C3" s="1" t="s">
        <v>19</v>
      </c>
      <c r="D3" s="15">
        <v>3335668.5649999999</v>
      </c>
      <c r="E3" s="15">
        <v>1373480.8267765248</v>
      </c>
      <c r="F3" s="2">
        <v>41.175578448889596</v>
      </c>
      <c r="G3" s="30">
        <v>1.0031385355334368</v>
      </c>
    </row>
    <row r="4" spans="1:7" ht="14.1" customHeight="1">
      <c r="A4" s="29" t="s">
        <v>132</v>
      </c>
      <c r="B4" s="1" t="s">
        <v>133</v>
      </c>
      <c r="C4" s="1" t="s">
        <v>19</v>
      </c>
      <c r="D4" s="15">
        <v>2306022.6039999998</v>
      </c>
      <c r="E4" s="60">
        <v>1728565.7067274677</v>
      </c>
      <c r="F4" s="2">
        <v>74.958749481861886</v>
      </c>
      <c r="G4" s="30">
        <v>1.262479124437057</v>
      </c>
    </row>
    <row r="5" spans="1:7" ht="14.1" customHeight="1">
      <c r="A5" s="29" t="s">
        <v>134</v>
      </c>
      <c r="B5" s="1" t="s">
        <v>135</v>
      </c>
      <c r="C5" s="1" t="s">
        <v>311</v>
      </c>
      <c r="D5" s="15">
        <v>1232980.52</v>
      </c>
      <c r="E5" s="15">
        <v>788686.38344461285</v>
      </c>
      <c r="F5" s="2">
        <v>63.9658429838464</v>
      </c>
      <c r="G5" s="30">
        <v>0.5760267549861614</v>
      </c>
    </row>
    <row r="6" spans="1:7" ht="14.1" customHeight="1">
      <c r="A6" s="29" t="s">
        <v>136</v>
      </c>
      <c r="B6" s="1" t="s">
        <v>137</v>
      </c>
      <c r="C6" s="1" t="s">
        <v>7</v>
      </c>
      <c r="D6" s="15">
        <v>9517104.3010000009</v>
      </c>
      <c r="E6" s="15">
        <v>270615.57686108485</v>
      </c>
      <c r="F6" s="2">
        <v>2.8434654943589317</v>
      </c>
      <c r="G6" s="30">
        <v>0.19764739934672143</v>
      </c>
    </row>
    <row r="7" spans="1:7" ht="14.1" customHeight="1">
      <c r="A7" s="29" t="s">
        <v>138</v>
      </c>
      <c r="B7" s="1" t="s">
        <v>139</v>
      </c>
      <c r="C7" s="1" t="s">
        <v>58</v>
      </c>
      <c r="D7" s="15">
        <v>657499.64399999997</v>
      </c>
      <c r="E7" s="15">
        <v>105830.64957993339</v>
      </c>
      <c r="F7" s="2">
        <v>16.095925000977399</v>
      </c>
      <c r="G7" s="30">
        <v>7.7294710464451341E-2</v>
      </c>
    </row>
    <row r="8" spans="1:7" ht="14.1" customHeight="1">
      <c r="A8" s="29" t="s">
        <v>140</v>
      </c>
      <c r="B8" s="1" t="s">
        <v>141</v>
      </c>
      <c r="C8" s="1" t="s">
        <v>28</v>
      </c>
      <c r="D8" s="15">
        <v>13674532.530999999</v>
      </c>
      <c r="E8" s="15">
        <v>319255.6439336419</v>
      </c>
      <c r="F8" s="2">
        <v>2.3346731832323568</v>
      </c>
      <c r="G8" s="30">
        <v>0.23317226776874853</v>
      </c>
    </row>
    <row r="9" spans="1:7" ht="14.1" customHeight="1">
      <c r="A9" s="29" t="s">
        <v>142</v>
      </c>
      <c r="B9" s="1" t="s">
        <v>143</v>
      </c>
      <c r="C9" s="1" t="s">
        <v>73</v>
      </c>
      <c r="D9" s="15">
        <v>27219775.899</v>
      </c>
      <c r="E9" s="15">
        <v>1451254.3979069449</v>
      </c>
      <c r="F9" s="2">
        <v>5.3316177300352461</v>
      </c>
      <c r="G9" s="30">
        <v>1.0599414152868281</v>
      </c>
    </row>
    <row r="10" spans="1:7" ht="14.1" customHeight="1">
      <c r="A10" s="29" t="s">
        <v>144</v>
      </c>
      <c r="B10" s="1" t="s">
        <v>145</v>
      </c>
      <c r="C10" s="1" t="s">
        <v>312</v>
      </c>
      <c r="D10" s="15">
        <v>5635422.2470000004</v>
      </c>
      <c r="E10" s="15">
        <v>211777.42006051561</v>
      </c>
      <c r="F10" s="2">
        <v>3.7579689822400555</v>
      </c>
      <c r="G10" s="30">
        <v>0.15467423125020513</v>
      </c>
    </row>
    <row r="11" spans="1:7" ht="14.1" customHeight="1">
      <c r="A11" s="29" t="s">
        <v>146</v>
      </c>
      <c r="B11" s="1" t="s">
        <v>147</v>
      </c>
      <c r="C11" s="1" t="s">
        <v>19</v>
      </c>
      <c r="D11" s="15">
        <v>7379719.2180000003</v>
      </c>
      <c r="E11" s="15">
        <v>492766.01362391975</v>
      </c>
      <c r="F11" s="2">
        <v>6.6773003019140038</v>
      </c>
      <c r="G11" s="30">
        <v>0.35989769032849894</v>
      </c>
    </row>
    <row r="12" spans="1:7" ht="14.1" customHeight="1">
      <c r="A12" s="29" t="s">
        <v>148</v>
      </c>
      <c r="B12" s="1" t="s">
        <v>149</v>
      </c>
      <c r="C12" s="1" t="s">
        <v>28</v>
      </c>
      <c r="D12" s="15">
        <v>12256457.234999999</v>
      </c>
      <c r="E12" s="15">
        <v>3699077.9780544885</v>
      </c>
      <c r="F12" s="2">
        <v>30.180646063784749</v>
      </c>
      <c r="G12" s="30">
        <v>2.7016668841590765</v>
      </c>
    </row>
    <row r="13" spans="1:7" ht="14.1" customHeight="1">
      <c r="A13" s="29" t="s">
        <v>150</v>
      </c>
      <c r="B13" s="1" t="s">
        <v>151</v>
      </c>
      <c r="C13" s="1" t="s">
        <v>7</v>
      </c>
      <c r="D13" s="15">
        <v>8430171.7339999992</v>
      </c>
      <c r="E13" s="15">
        <v>964174.58092777815</v>
      </c>
      <c r="F13" s="2">
        <v>11.437187893090414</v>
      </c>
      <c r="G13" s="30">
        <v>0.70419670828635972</v>
      </c>
    </row>
    <row r="14" spans="1:7" ht="14.1" customHeight="1">
      <c r="A14" s="29" t="s">
        <v>152</v>
      </c>
      <c r="B14" s="1" t="s">
        <v>153</v>
      </c>
      <c r="C14" s="1" t="s">
        <v>19</v>
      </c>
      <c r="D14" s="15">
        <v>3462433.0329999998</v>
      </c>
      <c r="E14" s="15">
        <v>262712.37843094982</v>
      </c>
      <c r="F14" s="2">
        <v>7.5875078572515982</v>
      </c>
      <c r="G14" s="30">
        <v>0.19187520162493571</v>
      </c>
    </row>
    <row r="15" spans="1:7" ht="14.1" customHeight="1">
      <c r="A15" s="29" t="s">
        <v>154</v>
      </c>
      <c r="B15" s="1" t="s">
        <v>155</v>
      </c>
      <c r="C15" s="1" t="s">
        <v>7</v>
      </c>
      <c r="D15" s="15">
        <v>7675587.4900000002</v>
      </c>
      <c r="E15" s="15">
        <v>2122517.8232256556</v>
      </c>
      <c r="F15" s="2">
        <v>27.652838639269493</v>
      </c>
      <c r="G15" s="30">
        <v>1.5502068753527896</v>
      </c>
    </row>
    <row r="16" spans="1:7" ht="14.1" customHeight="1">
      <c r="A16" s="29" t="s">
        <v>156</v>
      </c>
      <c r="B16" s="1" t="s">
        <v>157</v>
      </c>
      <c r="C16" s="1" t="s">
        <v>28</v>
      </c>
      <c r="D16" s="15">
        <v>1464207.9029999999</v>
      </c>
      <c r="E16" s="15">
        <v>174564.4403976773</v>
      </c>
      <c r="F16" s="2">
        <v>11.922107512192365</v>
      </c>
      <c r="G16" s="30">
        <v>0.12749527600448401</v>
      </c>
    </row>
    <row r="17" spans="1:7" ht="14.1" customHeight="1">
      <c r="A17" s="29" t="s">
        <v>158</v>
      </c>
      <c r="B17" s="1" t="s">
        <v>159</v>
      </c>
      <c r="C17" s="1" t="s">
        <v>313</v>
      </c>
      <c r="D17" s="15">
        <v>10164043.989</v>
      </c>
      <c r="E17" s="15">
        <v>5807783.7266430482</v>
      </c>
      <c r="F17" s="2">
        <v>57.140482006261493</v>
      </c>
      <c r="G17" s="30">
        <v>4.2417859417178221</v>
      </c>
    </row>
    <row r="18" spans="1:7" ht="14.1" customHeight="1">
      <c r="A18" s="29" t="s">
        <v>160</v>
      </c>
      <c r="B18" s="1" t="s">
        <v>161</v>
      </c>
      <c r="C18" s="1" t="s">
        <v>314</v>
      </c>
      <c r="D18" s="15">
        <v>30409436.973999999</v>
      </c>
      <c r="E18" s="15">
        <v>2633937.976995775</v>
      </c>
      <c r="F18" s="2">
        <v>8.6615808745416309</v>
      </c>
      <c r="G18" s="30">
        <v>1.9237288452948684</v>
      </c>
    </row>
    <row r="19" spans="1:7" ht="14.1" customHeight="1">
      <c r="A19" s="29" t="s">
        <v>162</v>
      </c>
      <c r="B19" s="1" t="s">
        <v>163</v>
      </c>
      <c r="C19" s="1" t="s">
        <v>10</v>
      </c>
      <c r="D19" s="15">
        <v>7385346.3959999997</v>
      </c>
      <c r="E19" s="15">
        <v>206953.98164118483</v>
      </c>
      <c r="F19" s="2">
        <v>2.8022244393746218</v>
      </c>
      <c r="G19" s="30">
        <v>0.15115137395371192</v>
      </c>
    </row>
    <row r="20" spans="1:7" ht="14.1" customHeight="1">
      <c r="A20" s="29" t="s">
        <v>164</v>
      </c>
      <c r="B20" s="1" t="s">
        <v>165</v>
      </c>
      <c r="C20" s="1" t="s">
        <v>7</v>
      </c>
      <c r="D20" s="15">
        <v>12912208.812000001</v>
      </c>
      <c r="E20" s="15">
        <v>1617272.8899517255</v>
      </c>
      <c r="F20" s="2">
        <v>12.525145104908061</v>
      </c>
      <c r="G20" s="30">
        <v>1.1811950532951059</v>
      </c>
    </row>
    <row r="21" spans="1:7" ht="14.1" customHeight="1">
      <c r="A21" s="29" t="s">
        <v>315</v>
      </c>
      <c r="B21" s="1" t="s">
        <v>316</v>
      </c>
      <c r="C21" s="1" t="s">
        <v>317</v>
      </c>
      <c r="D21" s="15">
        <v>17167.102999999999</v>
      </c>
      <c r="E21" s="15">
        <v>0</v>
      </c>
      <c r="F21" s="2">
        <v>0</v>
      </c>
      <c r="G21" s="30">
        <v>0</v>
      </c>
    </row>
    <row r="22" spans="1:7" ht="14.1" customHeight="1">
      <c r="A22" s="29" t="s">
        <v>166</v>
      </c>
      <c r="B22" s="1" t="s">
        <v>167</v>
      </c>
      <c r="C22" s="1" t="s">
        <v>19</v>
      </c>
      <c r="D22" s="15">
        <v>2092228.9550000001</v>
      </c>
      <c r="E22" s="15">
        <v>219033.4161735666</v>
      </c>
      <c r="F22" s="2">
        <v>10.46890282490936</v>
      </c>
      <c r="G22" s="30">
        <v>0.15997373683687219</v>
      </c>
    </row>
    <row r="23" spans="1:7" ht="14.1" customHeight="1">
      <c r="A23" s="29" t="s">
        <v>168</v>
      </c>
      <c r="B23" s="1" t="s">
        <v>169</v>
      </c>
      <c r="C23" s="1" t="s">
        <v>7</v>
      </c>
      <c r="D23" s="15">
        <v>8360871.2740000002</v>
      </c>
      <c r="E23" s="15">
        <v>1096633.2342869397</v>
      </c>
      <c r="F23" s="2">
        <v>13.116255451715494</v>
      </c>
      <c r="G23" s="30">
        <v>0.80093950728216989</v>
      </c>
    </row>
    <row r="24" spans="1:7" ht="14.1" customHeight="1">
      <c r="A24" s="29" t="s">
        <v>170</v>
      </c>
      <c r="B24" s="1" t="s">
        <v>171</v>
      </c>
      <c r="C24" s="1" t="s">
        <v>73</v>
      </c>
      <c r="D24" s="15">
        <v>10699769.228</v>
      </c>
      <c r="E24" s="15">
        <v>284078.3229212864</v>
      </c>
      <c r="F24" s="2">
        <v>2.6549948589347871</v>
      </c>
      <c r="G24" s="30">
        <v>0.20748008073826624</v>
      </c>
    </row>
    <row r="25" spans="1:7" ht="14.1" customHeight="1">
      <c r="A25" s="29" t="s">
        <v>172</v>
      </c>
      <c r="B25" s="1" t="s">
        <v>173</v>
      </c>
      <c r="C25" s="1" t="s">
        <v>19</v>
      </c>
      <c r="D25" s="15">
        <v>2843199.4380000001</v>
      </c>
      <c r="E25" s="60">
        <v>882084.37352423626</v>
      </c>
      <c r="F25" s="2">
        <v>31.024358043089773</v>
      </c>
      <c r="G25" s="30">
        <v>0.64424112038806303</v>
      </c>
    </row>
    <row r="26" spans="1:7" ht="14.1" customHeight="1">
      <c r="A26" s="29" t="s">
        <v>174</v>
      </c>
      <c r="B26" s="1" t="s">
        <v>175</v>
      </c>
      <c r="C26" s="1" t="s">
        <v>19</v>
      </c>
      <c r="D26" s="15">
        <v>5805108.1210000003</v>
      </c>
      <c r="E26" s="15">
        <v>129831.67425427269</v>
      </c>
      <c r="F26" s="2">
        <v>2.2365074267024609</v>
      </c>
      <c r="G26" s="30">
        <v>9.4824152647946774E-2</v>
      </c>
    </row>
    <row r="27" spans="1:7" ht="14.1" customHeight="1">
      <c r="A27" s="29" t="s">
        <v>176</v>
      </c>
      <c r="B27" s="1" t="s">
        <v>177</v>
      </c>
      <c r="C27" s="1" t="s">
        <v>28</v>
      </c>
      <c r="D27" s="15">
        <v>6941095.4560000002</v>
      </c>
      <c r="E27" s="15">
        <v>221225.43517822993</v>
      </c>
      <c r="F27" s="2">
        <v>3.1871832995323377</v>
      </c>
      <c r="G27" s="30">
        <v>0.16157470475089841</v>
      </c>
    </row>
    <row r="28" spans="1:7" ht="14.1" customHeight="1">
      <c r="A28" s="29" t="s">
        <v>178</v>
      </c>
      <c r="B28" s="1" t="s">
        <v>179</v>
      </c>
      <c r="C28" s="1" t="s">
        <v>28</v>
      </c>
      <c r="D28" s="15">
        <v>11625726.308</v>
      </c>
      <c r="E28" s="15">
        <v>841745.82820345426</v>
      </c>
      <c r="F28" s="2">
        <v>7.2403719638937698</v>
      </c>
      <c r="G28" s="30">
        <v>0.61477937000192351</v>
      </c>
    </row>
    <row r="29" spans="1:7" ht="14.1" customHeight="1">
      <c r="A29" s="29" t="s">
        <v>180</v>
      </c>
      <c r="B29" s="1" t="s">
        <v>181</v>
      </c>
      <c r="C29" s="1" t="s">
        <v>7</v>
      </c>
      <c r="D29" s="15">
        <v>2921327.483</v>
      </c>
      <c r="E29" s="15">
        <v>843320.52532072784</v>
      </c>
      <c r="F29" s="2">
        <v>28.867716140290316</v>
      </c>
      <c r="G29" s="30">
        <v>0.61592946931844472</v>
      </c>
    </row>
    <row r="30" spans="1:7" ht="14.1" customHeight="1">
      <c r="A30" s="29" t="s">
        <v>182</v>
      </c>
      <c r="B30" s="1" t="s">
        <v>183</v>
      </c>
      <c r="C30" s="1" t="s">
        <v>31</v>
      </c>
      <c r="D30" s="15">
        <v>6120408.6500000004</v>
      </c>
      <c r="E30" s="15">
        <v>897263.66284238303</v>
      </c>
      <c r="F30" s="2">
        <v>14.660192058293084</v>
      </c>
      <c r="G30" s="30">
        <v>0.65532750016140195</v>
      </c>
    </row>
    <row r="31" spans="1:7" ht="14.1" customHeight="1">
      <c r="A31" s="29" t="s">
        <v>184</v>
      </c>
      <c r="B31" s="1" t="s">
        <v>185</v>
      </c>
      <c r="C31" s="1" t="s">
        <v>26</v>
      </c>
      <c r="D31" s="15">
        <v>7267416.1720000003</v>
      </c>
      <c r="E31" s="15">
        <v>305686.58322774153</v>
      </c>
      <c r="F31" s="2">
        <v>4.2062622532268747</v>
      </c>
      <c r="G31" s="30">
        <v>0.22326193817424886</v>
      </c>
    </row>
    <row r="32" spans="1:7" ht="14.1" customHeight="1">
      <c r="A32" s="29" t="s">
        <v>186</v>
      </c>
      <c r="B32" s="1" t="s">
        <v>187</v>
      </c>
      <c r="C32" s="1" t="s">
        <v>31</v>
      </c>
      <c r="D32" s="15">
        <v>6615765.0329999998</v>
      </c>
      <c r="E32" s="15">
        <v>580009.38497675443</v>
      </c>
      <c r="F32" s="2">
        <v>8.7670795755837485</v>
      </c>
      <c r="G32" s="30">
        <v>0.42361695460048732</v>
      </c>
    </row>
    <row r="33" spans="1:7" ht="14.1" customHeight="1">
      <c r="A33" s="29" t="s">
        <v>188</v>
      </c>
      <c r="B33" s="1" t="s">
        <v>189</v>
      </c>
      <c r="C33" s="1" t="s">
        <v>318</v>
      </c>
      <c r="D33" s="15">
        <v>537542.625</v>
      </c>
      <c r="E33" s="15">
        <v>187260.13132117968</v>
      </c>
      <c r="F33" s="2">
        <v>34.836331597178862</v>
      </c>
      <c r="G33" s="30">
        <v>0.13676772928690575</v>
      </c>
    </row>
    <row r="34" spans="1:7" ht="14.1" customHeight="1">
      <c r="A34" s="29" t="s">
        <v>190</v>
      </c>
      <c r="B34" s="1" t="s">
        <v>191</v>
      </c>
      <c r="C34" s="1" t="s">
        <v>7</v>
      </c>
      <c r="D34" s="15">
        <v>18075257.304000001</v>
      </c>
      <c r="E34" s="15">
        <v>2689301.381757088</v>
      </c>
      <c r="F34" s="2">
        <v>14.878357395011763</v>
      </c>
      <c r="G34" s="30">
        <v>1.9641641857027505</v>
      </c>
    </row>
    <row r="35" spans="1:7" ht="14.1" customHeight="1">
      <c r="A35" s="29" t="s">
        <v>192</v>
      </c>
      <c r="B35" s="1" t="s">
        <v>193</v>
      </c>
      <c r="C35" s="1" t="s">
        <v>31</v>
      </c>
      <c r="D35" s="15">
        <v>12002882.873</v>
      </c>
      <c r="E35" s="15">
        <v>1897737.2834298913</v>
      </c>
      <c r="F35" s="2">
        <v>15.810679013612427</v>
      </c>
      <c r="G35" s="30">
        <v>1.3860356564240621</v>
      </c>
    </row>
    <row r="36" spans="1:7" ht="14.1" customHeight="1">
      <c r="A36" s="29" t="s">
        <v>194</v>
      </c>
      <c r="B36" s="1" t="s">
        <v>195</v>
      </c>
      <c r="C36" s="1" t="s">
        <v>7</v>
      </c>
      <c r="D36" s="15">
        <v>3142149.443</v>
      </c>
      <c r="E36" s="15">
        <v>567805.73723656381</v>
      </c>
      <c r="F36" s="2">
        <v>18.070615275842684</v>
      </c>
      <c r="G36" s="30">
        <v>0.41470387108042694</v>
      </c>
    </row>
    <row r="37" spans="1:7" ht="14.1" customHeight="1">
      <c r="A37" s="29" t="s">
        <v>196</v>
      </c>
      <c r="B37" s="1" t="s">
        <v>197</v>
      </c>
      <c r="C37" s="1" t="s">
        <v>7</v>
      </c>
      <c r="D37" s="15">
        <v>15628918.477</v>
      </c>
      <c r="E37" s="15">
        <v>9126380.7826216258</v>
      </c>
      <c r="F37" s="2">
        <v>58.394192765496157</v>
      </c>
      <c r="G37" s="30">
        <v>6.6655639267173745</v>
      </c>
    </row>
    <row r="38" spans="1:7" ht="14.1" customHeight="1">
      <c r="A38" s="70" t="s">
        <v>198</v>
      </c>
      <c r="B38" s="77" t="s">
        <v>199</v>
      </c>
      <c r="C38" s="77" t="s">
        <v>319</v>
      </c>
      <c r="D38" s="74">
        <v>39486135.498000003</v>
      </c>
      <c r="E38" s="74">
        <v>9283278.5835458934</v>
      </c>
      <c r="F38" s="66">
        <v>23.510223187113606</v>
      </c>
      <c r="G38" s="63">
        <v>6.7801561563133079</v>
      </c>
    </row>
    <row r="39" spans="1:7" ht="14.1" customHeight="1">
      <c r="A39" s="29" t="s">
        <v>200</v>
      </c>
      <c r="B39" s="1" t="s">
        <v>201</v>
      </c>
      <c r="C39" s="1" t="s">
        <v>313</v>
      </c>
      <c r="D39" s="15">
        <v>42246564.193000004</v>
      </c>
      <c r="E39" s="15">
        <v>12937226.952013556</v>
      </c>
      <c r="F39" s="2">
        <v>30.62314580875946</v>
      </c>
      <c r="G39" s="30">
        <v>9.4488620776489185</v>
      </c>
    </row>
    <row r="40" spans="1:7" ht="14.1" customHeight="1">
      <c r="A40" s="29" t="s">
        <v>202</v>
      </c>
      <c r="B40" s="1" t="s">
        <v>203</v>
      </c>
      <c r="C40" s="1" t="s">
        <v>19</v>
      </c>
      <c r="D40" s="15">
        <v>2711718.4440000001</v>
      </c>
      <c r="E40" s="15">
        <v>569714.94061771652</v>
      </c>
      <c r="F40" s="2">
        <v>21.009369238841099</v>
      </c>
      <c r="G40" s="30">
        <v>0.41609828114168701</v>
      </c>
    </row>
    <row r="41" spans="1:7" ht="14.1" customHeight="1">
      <c r="A41" s="29" t="s">
        <v>204</v>
      </c>
      <c r="B41" s="1" t="s">
        <v>205</v>
      </c>
      <c r="C41" s="1" t="s">
        <v>320</v>
      </c>
      <c r="D41" s="15">
        <v>11847908.986</v>
      </c>
      <c r="E41" s="15">
        <v>1093737.3423738098</v>
      </c>
      <c r="F41" s="2">
        <v>9.2314799486239902</v>
      </c>
      <c r="G41" s="30">
        <v>0.7988244571728661</v>
      </c>
    </row>
    <row r="42" spans="1:7" ht="14.1" customHeight="1">
      <c r="A42" s="29" t="s">
        <v>206</v>
      </c>
      <c r="B42" s="1" t="s">
        <v>207</v>
      </c>
      <c r="C42" s="1" t="s">
        <v>28</v>
      </c>
      <c r="D42" s="15">
        <v>22041825.131000001</v>
      </c>
      <c r="E42" s="15">
        <v>1374606.7447140848</v>
      </c>
      <c r="F42" s="2">
        <v>6.2363562751471715</v>
      </c>
      <c r="G42" s="30">
        <v>1.0039608634822481</v>
      </c>
    </row>
    <row r="43" spans="1:7" ht="14.1" customHeight="1">
      <c r="A43" s="29" t="s">
        <v>208</v>
      </c>
      <c r="B43" s="1" t="s">
        <v>209</v>
      </c>
      <c r="C43" s="1" t="s">
        <v>313</v>
      </c>
      <c r="D43" s="15">
        <v>1088197.5789999999</v>
      </c>
      <c r="E43" s="15">
        <v>159336.69445400406</v>
      </c>
      <c r="F43" s="2">
        <v>14.64225775988462</v>
      </c>
      <c r="G43" s="30">
        <v>0.11637350534150188</v>
      </c>
    </row>
    <row r="44" spans="1:7" ht="14.1" customHeight="1">
      <c r="A44" s="29" t="s">
        <v>210</v>
      </c>
      <c r="B44" s="1" t="s">
        <v>211</v>
      </c>
      <c r="C44" s="1" t="s">
        <v>321</v>
      </c>
      <c r="D44" s="15">
        <v>27329.15</v>
      </c>
      <c r="E44" s="15">
        <v>8690.4821164027544</v>
      </c>
      <c r="F44" s="2">
        <v>31.799313613496043</v>
      </c>
      <c r="G44" s="30">
        <v>6.3471999997173779E-3</v>
      </c>
    </row>
    <row r="45" spans="1:7" ht="14.1" customHeight="1">
      <c r="A45" s="29" t="s">
        <v>212</v>
      </c>
      <c r="B45" s="1" t="s">
        <v>213</v>
      </c>
      <c r="C45" s="1" t="s">
        <v>7</v>
      </c>
      <c r="D45" s="15">
        <v>4509074.1390000004</v>
      </c>
      <c r="E45" s="15">
        <v>641790.21282060258</v>
      </c>
      <c r="F45" s="2">
        <v>14.233303623677731</v>
      </c>
      <c r="G45" s="30">
        <v>0.46873933851666622</v>
      </c>
    </row>
    <row r="46" spans="1:7" ht="14.1" customHeight="1">
      <c r="A46" s="29" t="s">
        <v>214</v>
      </c>
      <c r="B46" s="1" t="s">
        <v>215</v>
      </c>
      <c r="C46" s="1" t="s">
        <v>31</v>
      </c>
      <c r="D46" s="15">
        <v>812414.86</v>
      </c>
      <c r="E46" s="15">
        <v>167067.19162600365</v>
      </c>
      <c r="F46" s="2">
        <v>20.564270774909712</v>
      </c>
      <c r="G46" s="30">
        <v>0.1220195685852568</v>
      </c>
    </row>
    <row r="47" spans="1:7" ht="14.1" customHeight="1">
      <c r="A47" s="29" t="s">
        <v>216</v>
      </c>
      <c r="B47" s="1" t="s">
        <v>217</v>
      </c>
      <c r="C47" s="1" t="s">
        <v>58</v>
      </c>
      <c r="D47" s="15">
        <v>425566.53600000002</v>
      </c>
      <c r="E47" s="15">
        <v>83936.369580699902</v>
      </c>
      <c r="F47" s="2">
        <v>19.723442160099708</v>
      </c>
      <c r="G47" s="30">
        <v>6.1303955044489704E-2</v>
      </c>
    </row>
    <row r="48" spans="1:7" ht="14.1" customHeight="1">
      <c r="A48" s="29" t="s">
        <v>218</v>
      </c>
      <c r="B48" s="1" t="s">
        <v>219</v>
      </c>
      <c r="C48" s="1" t="s">
        <v>7</v>
      </c>
      <c r="D48" s="15">
        <v>11089856.833000001</v>
      </c>
      <c r="E48" s="15">
        <v>5239233.1576755252</v>
      </c>
      <c r="F48" s="2">
        <v>47.243469745120429</v>
      </c>
      <c r="G48" s="30">
        <v>3.8265380736647057</v>
      </c>
    </row>
    <row r="49" spans="1:7" ht="14.1" customHeight="1">
      <c r="A49" s="29" t="s">
        <v>220</v>
      </c>
      <c r="B49" s="1" t="s">
        <v>221</v>
      </c>
      <c r="C49" s="1" t="s">
        <v>19</v>
      </c>
      <c r="D49" s="15">
        <v>3929443.5430000001</v>
      </c>
      <c r="E49" s="15">
        <v>574320.44831501483</v>
      </c>
      <c r="F49" s="2">
        <v>14.615821350535047</v>
      </c>
      <c r="G49" s="30">
        <v>0.41946197006750807</v>
      </c>
    </row>
    <row r="50" spans="1:7" ht="14.1" customHeight="1">
      <c r="A50" s="29" t="s">
        <v>222</v>
      </c>
      <c r="B50" s="1" t="s">
        <v>223</v>
      </c>
      <c r="C50" s="1" t="s">
        <v>7</v>
      </c>
      <c r="D50" s="15">
        <v>7397559.2560000001</v>
      </c>
      <c r="E50" s="15">
        <v>1333341.7452080972</v>
      </c>
      <c r="F50" s="2">
        <v>18.024076578050423</v>
      </c>
      <c r="G50" s="30">
        <v>0.97382246594059862</v>
      </c>
    </row>
    <row r="51" spans="1:7" ht="14.1" customHeight="1">
      <c r="A51" s="29" t="s">
        <v>224</v>
      </c>
      <c r="B51" s="1" t="s">
        <v>225</v>
      </c>
      <c r="C51" s="1" t="s">
        <v>320</v>
      </c>
      <c r="D51" s="15">
        <v>33468760.806000002</v>
      </c>
      <c r="E51" s="15">
        <v>562950.8188246889</v>
      </c>
      <c r="F51" s="2">
        <v>1.682018710187106</v>
      </c>
      <c r="G51" s="30">
        <v>0.41115802198601148</v>
      </c>
    </row>
    <row r="52" spans="1:7" ht="14.1" customHeight="1">
      <c r="A52" s="29" t="s">
        <v>226</v>
      </c>
      <c r="B52" s="1" t="s">
        <v>227</v>
      </c>
      <c r="C52" s="1" t="s">
        <v>28</v>
      </c>
      <c r="D52" s="15">
        <v>6778262.5669999998</v>
      </c>
      <c r="E52" s="15">
        <v>372176.13626880059</v>
      </c>
      <c r="F52" s="2">
        <v>5.4907305904722792</v>
      </c>
      <c r="G52" s="30">
        <v>0.27182339718086451</v>
      </c>
    </row>
    <row r="53" spans="1:7" ht="14.1" customHeight="1">
      <c r="A53" s="29" t="s">
        <v>228</v>
      </c>
      <c r="B53" s="1" t="s">
        <v>229</v>
      </c>
      <c r="C53" s="1" t="s">
        <v>73</v>
      </c>
      <c r="D53" s="15">
        <v>25188333.427999999</v>
      </c>
      <c r="E53" s="15">
        <v>1000578.5524363072</v>
      </c>
      <c r="F53" s="2">
        <v>3.9723888652515549</v>
      </c>
      <c r="G53" s="30">
        <v>0.73078479452297129</v>
      </c>
    </row>
    <row r="54" spans="1:7" ht="14.1" customHeight="1">
      <c r="A54" s="29" t="s">
        <v>230</v>
      </c>
      <c r="B54" s="1" t="s">
        <v>231</v>
      </c>
      <c r="C54" s="1" t="s">
        <v>7</v>
      </c>
      <c r="D54" s="15">
        <v>28120554.324000001</v>
      </c>
      <c r="E54" s="15">
        <v>1875738.5498634344</v>
      </c>
      <c r="F54" s="2">
        <v>6.6703469933469668</v>
      </c>
      <c r="G54" s="30">
        <v>1.3699686120625929</v>
      </c>
    </row>
    <row r="55" spans="1:7" ht="14.1" customHeight="1">
      <c r="A55" s="29" t="s">
        <v>232</v>
      </c>
      <c r="B55" s="1" t="s">
        <v>233</v>
      </c>
      <c r="C55" s="1" t="s">
        <v>322</v>
      </c>
      <c r="D55" s="15">
        <v>19958349.473999999</v>
      </c>
      <c r="E55" s="15">
        <v>3038370.5581088974</v>
      </c>
      <c r="F55" s="2">
        <v>15.223556246807995</v>
      </c>
      <c r="G55" s="30">
        <v>2.2191111318404935</v>
      </c>
    </row>
    <row r="56" spans="1:7" ht="14.1" customHeight="1">
      <c r="A56" s="29" t="s">
        <v>234</v>
      </c>
      <c r="B56" s="1" t="s">
        <v>235</v>
      </c>
      <c r="C56" s="1" t="s">
        <v>73</v>
      </c>
      <c r="D56" s="15">
        <v>2701977.1570000001</v>
      </c>
      <c r="E56" s="15">
        <v>89996.599090590607</v>
      </c>
      <c r="F56" s="2">
        <v>3.3307683174684444</v>
      </c>
      <c r="G56" s="30">
        <v>6.5730117854360087E-2</v>
      </c>
    </row>
    <row r="57" spans="1:7" ht="14.1" customHeight="1">
      <c r="A57" s="29" t="s">
        <v>236</v>
      </c>
      <c r="B57" s="1" t="s">
        <v>237</v>
      </c>
      <c r="C57" s="1" t="s">
        <v>323</v>
      </c>
      <c r="D57" s="15">
        <v>2458214.7200000002</v>
      </c>
      <c r="E57" s="15">
        <v>235370.98152258369</v>
      </c>
      <c r="F57" s="2">
        <v>9.5748747905383826</v>
      </c>
      <c r="G57" s="30">
        <v>0.17190607768858865</v>
      </c>
    </row>
    <row r="58" spans="1:7" ht="14.1" customHeight="1">
      <c r="A58" s="29" t="s">
        <v>238</v>
      </c>
      <c r="B58" s="1" t="s">
        <v>239</v>
      </c>
      <c r="C58" s="1" t="s">
        <v>73</v>
      </c>
      <c r="D58" s="15">
        <v>3002212.7280000001</v>
      </c>
      <c r="E58" s="15">
        <v>297167.29750801087</v>
      </c>
      <c r="F58" s="2">
        <v>9.898275852889892</v>
      </c>
      <c r="G58" s="30">
        <v>0.21703977355857054</v>
      </c>
    </row>
    <row r="59" spans="1:7" ht="14.1" customHeight="1">
      <c r="A59" s="29" t="s">
        <v>240</v>
      </c>
      <c r="B59" s="1" t="s">
        <v>241</v>
      </c>
      <c r="C59" s="1" t="s">
        <v>7</v>
      </c>
      <c r="D59" s="15">
        <v>8420100.3920000009</v>
      </c>
      <c r="E59" s="15">
        <v>4482981.8422707561</v>
      </c>
      <c r="F59" s="2">
        <v>53.241429835326784</v>
      </c>
      <c r="G59" s="30">
        <v>3.2742006676808004</v>
      </c>
    </row>
    <row r="60" spans="1:7" ht="14.1" customHeight="1">
      <c r="A60" s="29" t="s">
        <v>242</v>
      </c>
      <c r="B60" s="1" t="s">
        <v>243</v>
      </c>
      <c r="C60" s="1" t="s">
        <v>10</v>
      </c>
      <c r="D60" s="15">
        <v>3996590.9589999998</v>
      </c>
      <c r="E60" s="15">
        <v>998087.39751776552</v>
      </c>
      <c r="F60" s="2">
        <v>24.973468832734895</v>
      </c>
      <c r="G60" s="30">
        <v>0.72896534903232124</v>
      </c>
    </row>
    <row r="61" spans="1:7" ht="14.1" customHeight="1">
      <c r="A61" s="29" t="s">
        <v>244</v>
      </c>
      <c r="B61" s="1" t="s">
        <v>245</v>
      </c>
      <c r="C61" s="1" t="s">
        <v>324</v>
      </c>
      <c r="D61" s="15">
        <v>8681126.0700000003</v>
      </c>
      <c r="E61" s="15">
        <v>247663.69701963029</v>
      </c>
      <c r="F61" s="2">
        <v>2.8528982878788014</v>
      </c>
      <c r="G61" s="30">
        <v>0.18088421293520676</v>
      </c>
    </row>
    <row r="62" spans="1:7" ht="14.1" customHeight="1">
      <c r="A62" s="29" t="s">
        <v>246</v>
      </c>
      <c r="B62" s="1" t="s">
        <v>247</v>
      </c>
      <c r="C62" s="1" t="s">
        <v>313</v>
      </c>
      <c r="D62" s="15">
        <v>19722773.666000001</v>
      </c>
      <c r="E62" s="15">
        <v>6234878.943485857</v>
      </c>
      <c r="F62" s="2">
        <v>31.612586794696814</v>
      </c>
      <c r="G62" s="30">
        <v>4.5537201616971013</v>
      </c>
    </row>
    <row r="63" spans="1:7" ht="14.1" customHeight="1">
      <c r="A63" s="29" t="s">
        <v>248</v>
      </c>
      <c r="B63" s="1" t="s">
        <v>249</v>
      </c>
      <c r="C63" s="1" t="s">
        <v>319</v>
      </c>
      <c r="D63" s="15">
        <v>12540703.27</v>
      </c>
      <c r="E63" s="15">
        <v>1484541.0625844174</v>
      </c>
      <c r="F63" s="2">
        <v>11.837781587064196</v>
      </c>
      <c r="G63" s="30">
        <v>1.08425273831834</v>
      </c>
    </row>
    <row r="64" spans="1:7" ht="14.1" customHeight="1">
      <c r="A64" s="29" t="s">
        <v>250</v>
      </c>
      <c r="B64" s="1" t="s">
        <v>251</v>
      </c>
      <c r="C64" s="1" t="s">
        <v>325</v>
      </c>
      <c r="D64" s="15">
        <v>5816.5190000000002</v>
      </c>
      <c r="E64" s="15">
        <v>2011.3669965859228</v>
      </c>
      <c r="F64" s="2">
        <v>34.580253182116707</v>
      </c>
      <c r="G64" s="30">
        <v>1.4690265084448689E-3</v>
      </c>
    </row>
    <row r="65" spans="1:7" ht="14.1" customHeight="1">
      <c r="A65" s="29" t="s">
        <v>252</v>
      </c>
      <c r="B65" s="1" t="s">
        <v>253</v>
      </c>
      <c r="C65" s="1" t="s">
        <v>7</v>
      </c>
      <c r="D65" s="15">
        <v>17823125.776000001</v>
      </c>
      <c r="E65" s="15">
        <v>1505327.8832977521</v>
      </c>
      <c r="F65" s="2">
        <v>8.4459252670750615</v>
      </c>
      <c r="G65" s="30">
        <v>1.099434647291696</v>
      </c>
    </row>
    <row r="66" spans="1:7" ht="14.1" customHeight="1">
      <c r="A66" s="29" t="s">
        <v>254</v>
      </c>
      <c r="B66" s="1" t="s">
        <v>255</v>
      </c>
      <c r="C66" s="1" t="s">
        <v>19</v>
      </c>
      <c r="D66" s="15">
        <v>2851777.2059999998</v>
      </c>
      <c r="E66" s="61">
        <v>1217032.8885798445</v>
      </c>
      <c r="F66" s="2">
        <v>42.676296241489929</v>
      </c>
      <c r="G66" s="30">
        <v>0.88887486868766841</v>
      </c>
    </row>
    <row r="67" spans="1:7" ht="14.1" customHeight="1">
      <c r="A67" s="29" t="s">
        <v>256</v>
      </c>
      <c r="B67" s="1" t="s">
        <v>257</v>
      </c>
      <c r="C67" s="1" t="s">
        <v>322</v>
      </c>
      <c r="D67" s="15">
        <v>9704469.1359999999</v>
      </c>
      <c r="E67" s="15">
        <v>498822.31791877543</v>
      </c>
      <c r="F67" s="2">
        <v>5.1401298816885168</v>
      </c>
      <c r="G67" s="30">
        <v>0.36432098630951737</v>
      </c>
    </row>
    <row r="68" spans="1:7" ht="14.1" customHeight="1">
      <c r="A68" s="29" t="s">
        <v>258</v>
      </c>
      <c r="B68" s="1" t="s">
        <v>259</v>
      </c>
      <c r="C68" s="1" t="s">
        <v>326</v>
      </c>
      <c r="D68" s="15">
        <v>27984282.691</v>
      </c>
      <c r="E68" s="15">
        <v>8628762.6159639675</v>
      </c>
      <c r="F68" s="2">
        <v>30.834317646237388</v>
      </c>
      <c r="G68" s="30">
        <v>6.3021224070222353</v>
      </c>
    </row>
    <row r="69" spans="1:7" ht="14.1" customHeight="1">
      <c r="A69" s="29" t="s">
        <v>260</v>
      </c>
      <c r="B69" s="1" t="s">
        <v>261</v>
      </c>
      <c r="C69" s="1" t="s">
        <v>36</v>
      </c>
      <c r="D69" s="15">
        <v>1749236.9909999999</v>
      </c>
      <c r="E69" s="15">
        <v>164416.5588646403</v>
      </c>
      <c r="F69" s="2">
        <v>9.3993300913815574</v>
      </c>
      <c r="G69" s="30">
        <v>0.12008364649982704</v>
      </c>
    </row>
    <row r="70" spans="1:7" ht="14.1" customHeight="1">
      <c r="A70" s="29" t="s">
        <v>262</v>
      </c>
      <c r="B70" s="1" t="s">
        <v>263</v>
      </c>
      <c r="C70" s="1" t="s">
        <v>324</v>
      </c>
      <c r="D70" s="15">
        <v>2532052.841</v>
      </c>
      <c r="E70" s="15">
        <v>909461.85784832609</v>
      </c>
      <c r="F70" s="2">
        <v>35.917965183109942</v>
      </c>
      <c r="G70" s="30">
        <v>0.66423660121025419</v>
      </c>
    </row>
    <row r="71" spans="1:7" ht="14.1" customHeight="1">
      <c r="A71" s="29" t="s">
        <v>264</v>
      </c>
      <c r="B71" s="1" t="s">
        <v>265</v>
      </c>
      <c r="C71" s="1" t="s">
        <v>311</v>
      </c>
      <c r="D71" s="15">
        <v>8375961.0839999998</v>
      </c>
      <c r="E71" s="15">
        <v>1531403.5973103181</v>
      </c>
      <c r="F71" s="2">
        <v>18.283317961393696</v>
      </c>
      <c r="G71" s="30">
        <v>1.1184793642310247</v>
      </c>
    </row>
    <row r="72" spans="1:7" ht="14.1" customHeight="1">
      <c r="A72" s="29" t="s">
        <v>266</v>
      </c>
      <c r="B72" s="1" t="s">
        <v>267</v>
      </c>
      <c r="C72" s="1" t="s">
        <v>73</v>
      </c>
      <c r="D72" s="15">
        <v>7804921.0599999996</v>
      </c>
      <c r="E72" s="15">
        <v>1088603.6348692342</v>
      </c>
      <c r="F72" s="2">
        <v>13.947657208838372</v>
      </c>
      <c r="G72" s="30">
        <v>0.79507499105175317</v>
      </c>
    </row>
    <row r="73" spans="1:7" ht="14.1" customHeight="1">
      <c r="A73" s="29" t="s">
        <v>268</v>
      </c>
      <c r="B73" s="1" t="s">
        <v>269</v>
      </c>
      <c r="C73" s="1" t="s">
        <v>323</v>
      </c>
      <c r="D73" s="15">
        <v>2440340.3760000002</v>
      </c>
      <c r="E73" s="15">
        <v>49439.082433750918</v>
      </c>
      <c r="F73" s="2">
        <v>2.0259092919975075</v>
      </c>
      <c r="G73" s="30">
        <v>3.6108439072356342E-2</v>
      </c>
    </row>
    <row r="74" spans="1:7" ht="14.1" customHeight="1">
      <c r="A74" s="29" t="s">
        <v>270</v>
      </c>
      <c r="B74" s="1" t="s">
        <v>271</v>
      </c>
      <c r="C74" s="1" t="s">
        <v>31</v>
      </c>
      <c r="D74" s="15">
        <v>13166371.955</v>
      </c>
      <c r="E74" s="15">
        <v>933216.67411260086</v>
      </c>
      <c r="F74" s="2">
        <v>7.0878802247281714</v>
      </c>
      <c r="G74" s="30">
        <v>0.68158622206745711</v>
      </c>
    </row>
    <row r="75" spans="1:7" ht="14.1" customHeight="1">
      <c r="A75" s="29" t="s">
        <v>272</v>
      </c>
      <c r="B75" s="1" t="s">
        <v>273</v>
      </c>
      <c r="C75" s="1" t="s">
        <v>19</v>
      </c>
      <c r="D75" s="15">
        <v>9857530.8310000002</v>
      </c>
      <c r="E75" s="15">
        <v>68846.45277314214</v>
      </c>
      <c r="F75" s="2">
        <v>0.69841478513699962</v>
      </c>
      <c r="G75" s="30">
        <v>5.0282849578328119E-2</v>
      </c>
    </row>
    <row r="76" spans="1:7" ht="14.1" customHeight="1">
      <c r="A76" s="29" t="s">
        <v>274</v>
      </c>
      <c r="B76" s="1" t="s">
        <v>275</v>
      </c>
      <c r="C76" s="1" t="s">
        <v>58</v>
      </c>
      <c r="D76" s="15">
        <v>49163.837</v>
      </c>
      <c r="E76" s="15">
        <v>12400.067303129037</v>
      </c>
      <c r="F76" s="2">
        <v>25.221927456819611</v>
      </c>
      <c r="G76" s="30">
        <v>9.0565409523556666E-3</v>
      </c>
    </row>
    <row r="77" spans="1:7" ht="14.1" customHeight="1">
      <c r="A77" s="29" t="s">
        <v>276</v>
      </c>
      <c r="B77" s="1" t="s">
        <v>277</v>
      </c>
      <c r="C77" s="1" t="s">
        <v>7</v>
      </c>
      <c r="D77" s="15">
        <v>1525798.379</v>
      </c>
      <c r="E77" s="15">
        <v>164812.75823147874</v>
      </c>
      <c r="F77" s="2">
        <v>10.801738978088057</v>
      </c>
      <c r="G77" s="30">
        <v>0.12037301555753888</v>
      </c>
    </row>
    <row r="78" spans="1:7" ht="14.1" customHeight="1">
      <c r="A78" s="29" t="s">
        <v>278</v>
      </c>
      <c r="B78" s="1" t="s">
        <v>279</v>
      </c>
      <c r="C78" s="1" t="s">
        <v>10</v>
      </c>
      <c r="D78" s="15">
        <v>3629596.6170000001</v>
      </c>
      <c r="E78" s="72">
        <v>1454039.9689590542</v>
      </c>
      <c r="F78" s="2">
        <v>40.060649223352918</v>
      </c>
      <c r="G78" s="30">
        <v>1.0619758912047739</v>
      </c>
    </row>
    <row r="79" spans="1:7" ht="14.1" customHeight="1">
      <c r="A79" s="29" t="s">
        <v>280</v>
      </c>
      <c r="B79" s="1" t="s">
        <v>281</v>
      </c>
      <c r="C79" s="1" t="s">
        <v>319</v>
      </c>
      <c r="D79" s="15">
        <v>25997277.469000001</v>
      </c>
      <c r="E79" s="15">
        <v>11582870.154536916</v>
      </c>
      <c r="F79" s="2">
        <v>44.554165982759955</v>
      </c>
      <c r="G79" s="30">
        <v>8.4596910110246828</v>
      </c>
    </row>
    <row r="80" spans="1:7" ht="14.1" customHeight="1">
      <c r="A80" s="29" t="s">
        <v>282</v>
      </c>
      <c r="B80" s="1" t="s">
        <v>283</v>
      </c>
      <c r="C80" s="1" t="s">
        <v>58</v>
      </c>
      <c r="D80" s="15">
        <v>767849.44</v>
      </c>
      <c r="E80" s="15">
        <v>453162.79429399251</v>
      </c>
      <c r="F80" s="2">
        <v>59.01714199257507</v>
      </c>
      <c r="G80" s="30">
        <v>0.33097299428139743</v>
      </c>
    </row>
    <row r="81" spans="1:7" ht="14.1" customHeight="1">
      <c r="A81" s="29" t="s">
        <v>284</v>
      </c>
      <c r="B81" s="1" t="s">
        <v>285</v>
      </c>
      <c r="C81" s="1" t="s">
        <v>58</v>
      </c>
      <c r="D81" s="15">
        <v>415444.516</v>
      </c>
      <c r="E81" s="15">
        <v>26742.124113535294</v>
      </c>
      <c r="F81" s="2">
        <v>6.4369905206632438</v>
      </c>
      <c r="G81" s="30">
        <v>1.9531437714543354E-2</v>
      </c>
    </row>
    <row r="82" spans="1:7" ht="14.1" customHeight="1">
      <c r="A82" s="29" t="s">
        <v>286</v>
      </c>
      <c r="B82" s="1" t="s">
        <v>287</v>
      </c>
      <c r="C82" s="1" t="s">
        <v>58</v>
      </c>
      <c r="D82" s="15">
        <v>623103.44999999995</v>
      </c>
      <c r="E82" s="15">
        <v>89180.348625102284</v>
      </c>
      <c r="F82" s="2">
        <v>14.312286126020052</v>
      </c>
      <c r="G82" s="30">
        <v>6.5133959334622932E-2</v>
      </c>
    </row>
    <row r="83" spans="1:7" ht="14.1" customHeight="1">
      <c r="A83" s="29" t="s">
        <v>288</v>
      </c>
      <c r="B83" s="1" t="s">
        <v>289</v>
      </c>
      <c r="C83" s="1" t="s">
        <v>58</v>
      </c>
      <c r="D83" s="15">
        <v>1131822.091</v>
      </c>
      <c r="E83" s="15">
        <v>180267.03577944502</v>
      </c>
      <c r="F83" s="2">
        <v>15.927152969789935</v>
      </c>
      <c r="G83" s="30">
        <v>0.13166023635084129</v>
      </c>
    </row>
    <row r="84" spans="1:7" ht="14.1" customHeight="1">
      <c r="A84" s="29" t="s">
        <v>290</v>
      </c>
      <c r="B84" s="1" t="s">
        <v>291</v>
      </c>
      <c r="C84" s="1" t="s">
        <v>58</v>
      </c>
      <c r="D84" s="15">
        <v>757227.52599999995</v>
      </c>
      <c r="E84" s="15">
        <v>414200.78647940612</v>
      </c>
      <c r="F84" s="2">
        <v>54.699647365883806</v>
      </c>
      <c r="G84" s="30">
        <v>0.30251661491402398</v>
      </c>
    </row>
    <row r="85" spans="1:7" ht="14.1" customHeight="1">
      <c r="A85" s="29" t="s">
        <v>292</v>
      </c>
      <c r="B85" s="1" t="s">
        <v>293</v>
      </c>
      <c r="C85" s="1" t="s">
        <v>58</v>
      </c>
      <c r="D85" s="15">
        <v>1565077.425</v>
      </c>
      <c r="E85" s="15">
        <v>1349558.2825704101</v>
      </c>
      <c r="F85" s="2">
        <v>86.229490056724188</v>
      </c>
      <c r="G85" s="30">
        <v>0.98566641252064102</v>
      </c>
    </row>
    <row r="86" spans="1:7" ht="14.1" customHeight="1">
      <c r="A86" s="29" t="s">
        <v>294</v>
      </c>
      <c r="B86" s="1" t="s">
        <v>295</v>
      </c>
      <c r="C86" s="1" t="s">
        <v>19</v>
      </c>
      <c r="D86" s="15">
        <v>1010579.627</v>
      </c>
      <c r="E86" s="15">
        <v>204363.00376164055</v>
      </c>
      <c r="F86" s="2">
        <v>20.222355398981396</v>
      </c>
      <c r="G86" s="30">
        <v>0.14925902154149404</v>
      </c>
    </row>
    <row r="87" spans="1:7" ht="14.1" customHeight="1">
      <c r="A87" s="29" t="s">
        <v>296</v>
      </c>
      <c r="B87" s="1" t="s">
        <v>297</v>
      </c>
      <c r="C87" s="1" t="s">
        <v>319</v>
      </c>
      <c r="D87" s="15">
        <v>7301242.1220000004</v>
      </c>
      <c r="E87" s="15">
        <v>1302392.1198189936</v>
      </c>
      <c r="F87" s="2">
        <v>17.837952749089691</v>
      </c>
      <c r="G87" s="30">
        <v>0.95121802816260748</v>
      </c>
    </row>
    <row r="88" spans="1:7" ht="14.1" customHeight="1">
      <c r="A88" s="29" t="s">
        <v>298</v>
      </c>
      <c r="B88" s="1" t="s">
        <v>299</v>
      </c>
      <c r="C88" s="1" t="s">
        <v>36</v>
      </c>
      <c r="D88" s="15">
        <v>3469788.6159999999</v>
      </c>
      <c r="E88" s="15">
        <v>380334.89315233257</v>
      </c>
      <c r="F88" s="2">
        <v>10.961327482559605</v>
      </c>
      <c r="G88" s="30">
        <v>0.27778224514755062</v>
      </c>
    </row>
    <row r="89" spans="1:7" ht="14.1" customHeight="1">
      <c r="A89" s="29" t="s">
        <v>300</v>
      </c>
      <c r="B89" s="1" t="s">
        <v>301</v>
      </c>
      <c r="C89" s="1" t="s">
        <v>7</v>
      </c>
      <c r="D89" s="15">
        <v>844771.08200000005</v>
      </c>
      <c r="E89" s="15">
        <v>395592.68989176187</v>
      </c>
      <c r="F89" s="2">
        <v>46.828389172033923</v>
      </c>
      <c r="G89" s="30">
        <v>0.28892596377708502</v>
      </c>
    </row>
    <row r="90" spans="1:7" ht="14.1" customHeight="1">
      <c r="A90" s="29" t="s">
        <v>302</v>
      </c>
      <c r="B90" s="1" t="s">
        <v>303</v>
      </c>
      <c r="C90" s="1" t="s">
        <v>28</v>
      </c>
      <c r="D90" s="15">
        <v>1989106.7350000001</v>
      </c>
      <c r="E90" s="15">
        <v>1275102.9937697432</v>
      </c>
      <c r="F90" s="2">
        <v>64.104302264591311</v>
      </c>
      <c r="G90" s="30">
        <v>0.93128708088809808</v>
      </c>
    </row>
    <row r="91" spans="1:7" ht="14.1" customHeight="1">
      <c r="A91" s="29" t="s">
        <v>304</v>
      </c>
      <c r="B91" s="1" t="s">
        <v>305</v>
      </c>
      <c r="C91" s="1" t="s">
        <v>7</v>
      </c>
      <c r="D91" s="15">
        <v>5087577.33</v>
      </c>
      <c r="E91" s="15">
        <v>1650064.743078992</v>
      </c>
      <c r="F91" s="2">
        <v>32.433212038842704</v>
      </c>
      <c r="G91" s="30">
        <v>1.205144984653606</v>
      </c>
    </row>
    <row r="92" spans="1:7" ht="13.5" thickBot="1">
      <c r="A92" s="31" t="s">
        <v>85</v>
      </c>
      <c r="B92" s="3"/>
      <c r="C92" s="3"/>
      <c r="D92" s="4">
        <v>768928319.47500002</v>
      </c>
      <c r="E92" s="4">
        <v>136919839.1493569</v>
      </c>
      <c r="F92" s="5">
        <v>17.806580364063251</v>
      </c>
      <c r="G92" s="44">
        <v>100</v>
      </c>
    </row>
    <row r="93" spans="1:7">
      <c r="A93" s="13" t="s">
        <v>103</v>
      </c>
      <c r="B93" s="12">
        <v>768826956</v>
      </c>
    </row>
    <row r="94" spans="1:7">
      <c r="A94" s="23"/>
    </row>
    <row r="96" spans="1:7">
      <c r="A96" s="21" t="s">
        <v>1172</v>
      </c>
      <c r="B96" s="21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7"/>
  <sheetViews>
    <sheetView workbookViewId="0">
      <pane xSplit="38505" topLeftCell="P1"/>
      <selection activeCell="A2" sqref="A2"/>
      <selection pane="topRight" activeCell="P2" sqref="L1:P1048576"/>
    </sheetView>
  </sheetViews>
  <sheetFormatPr defaultRowHeight="12.75"/>
  <cols>
    <col min="1" max="1" width="50.42578125" style="13" customWidth="1"/>
    <col min="2" max="2" width="12.28515625" style="13" bestFit="1" customWidth="1"/>
    <col min="3" max="3" width="10.140625" style="13" bestFit="1" customWidth="1"/>
    <col min="4" max="4" width="9.140625" style="13" bestFit="1" customWidth="1"/>
    <col min="5" max="5" width="10.140625" style="13" bestFit="1" customWidth="1"/>
    <col min="6" max="7" width="9.140625" style="13" bestFit="1" customWidth="1"/>
    <col min="8" max="8" width="10.140625" style="13" bestFit="1" customWidth="1"/>
    <col min="9" max="9" width="7.42578125" style="13" bestFit="1" customWidth="1"/>
    <col min="10" max="10" width="9.140625" style="13" bestFit="1" customWidth="1"/>
    <col min="11" max="11" width="10.28515625" style="13" bestFit="1" customWidth="1"/>
    <col min="12" max="12" width="10.140625" style="13" bestFit="1" customWidth="1"/>
    <col min="13" max="13" width="7.42578125" style="13" bestFit="1" customWidth="1"/>
    <col min="14" max="14" width="4" style="82" bestFit="1" customWidth="1"/>
    <col min="15" max="15" width="11.28515625" style="13" bestFit="1" customWidth="1"/>
    <col min="16" max="16" width="14.42578125" style="13" bestFit="1" customWidth="1"/>
    <col min="17" max="17" width="7.42578125" style="13" bestFit="1" customWidth="1"/>
    <col min="18" max="16384" width="9.140625" style="13"/>
  </cols>
  <sheetData>
    <row r="1" spans="1:17" ht="13.5" thickBot="1">
      <c r="A1" s="67" t="s">
        <v>125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3"/>
    </row>
    <row r="2" spans="1:17">
      <c r="A2" s="26" t="s">
        <v>126</v>
      </c>
      <c r="B2" s="27" t="s">
        <v>127</v>
      </c>
      <c r="C2" s="27" t="s">
        <v>115</v>
      </c>
      <c r="D2" s="27" t="s">
        <v>116</v>
      </c>
      <c r="E2" s="27" t="s">
        <v>117</v>
      </c>
      <c r="F2" s="27" t="s">
        <v>118</v>
      </c>
      <c r="G2" s="27" t="s">
        <v>119</v>
      </c>
      <c r="H2" s="27" t="s">
        <v>123</v>
      </c>
      <c r="I2" s="27" t="s">
        <v>128</v>
      </c>
      <c r="J2" s="27" t="s">
        <v>121</v>
      </c>
      <c r="K2" s="27" t="s">
        <v>122</v>
      </c>
      <c r="L2" s="27" t="s">
        <v>124</v>
      </c>
      <c r="M2" s="27" t="s">
        <v>128</v>
      </c>
      <c r="N2" s="83" t="s">
        <v>120</v>
      </c>
      <c r="O2" s="27" t="s">
        <v>85</v>
      </c>
      <c r="P2" s="27" t="s">
        <v>129</v>
      </c>
      <c r="Q2" s="28" t="s">
        <v>128</v>
      </c>
    </row>
    <row r="3" spans="1:17" ht="14.1" customHeight="1">
      <c r="A3" s="29" t="s">
        <v>130</v>
      </c>
      <c r="B3" s="1" t="s">
        <v>131</v>
      </c>
      <c r="C3" s="15"/>
      <c r="D3" s="15"/>
      <c r="E3" s="15"/>
      <c r="F3" s="15"/>
      <c r="G3" s="15"/>
      <c r="H3" s="18">
        <v>0</v>
      </c>
      <c r="I3" s="14">
        <v>0</v>
      </c>
      <c r="J3" s="15">
        <v>135694.49879547095</v>
      </c>
      <c r="K3" s="15">
        <v>1237786.3279810539</v>
      </c>
      <c r="L3" s="18">
        <v>1373480.8267765248</v>
      </c>
      <c r="M3" s="14">
        <v>41.175578448889596</v>
      </c>
      <c r="N3" s="78"/>
      <c r="O3" s="12">
        <v>1373480.8267765248</v>
      </c>
      <c r="P3" s="12">
        <v>3335668.5649999999</v>
      </c>
      <c r="Q3" s="30">
        <v>41.175578448889596</v>
      </c>
    </row>
    <row r="4" spans="1:17" ht="14.1" customHeight="1">
      <c r="A4" s="29" t="s">
        <v>132</v>
      </c>
      <c r="B4" s="1" t="s">
        <v>133</v>
      </c>
      <c r="C4" s="15"/>
      <c r="D4" s="15"/>
      <c r="E4" s="68">
        <v>486415.39865677006</v>
      </c>
      <c r="F4" s="15"/>
      <c r="G4" s="15"/>
      <c r="H4" s="18">
        <v>486415.39865677006</v>
      </c>
      <c r="I4" s="14">
        <v>21.093262390968746</v>
      </c>
      <c r="J4" s="15"/>
      <c r="K4" s="69">
        <v>1242150.3080706978</v>
      </c>
      <c r="L4" s="18">
        <v>1242150.3080706978</v>
      </c>
      <c r="M4" s="14">
        <v>53.86548709089314</v>
      </c>
      <c r="N4" s="78"/>
      <c r="O4" s="76">
        <v>1728565.7067274679</v>
      </c>
      <c r="P4" s="12">
        <v>2306022.6039999998</v>
      </c>
      <c r="Q4" s="30">
        <v>74.958749481861886</v>
      </c>
    </row>
    <row r="5" spans="1:17" ht="14.1" customHeight="1">
      <c r="A5" s="29" t="s">
        <v>134</v>
      </c>
      <c r="B5" s="1" t="s">
        <v>135</v>
      </c>
      <c r="C5" s="15">
        <v>11128.029196076097</v>
      </c>
      <c r="D5" s="15">
        <v>27742.911145785485</v>
      </c>
      <c r="E5" s="15">
        <v>738703.59184268513</v>
      </c>
      <c r="F5" s="15">
        <v>10295.994468263856</v>
      </c>
      <c r="G5" s="15"/>
      <c r="H5" s="18">
        <v>787870.52665281051</v>
      </c>
      <c r="I5" s="14">
        <v>63.899673504396524</v>
      </c>
      <c r="J5" s="15">
        <v>4.14324285202693E-2</v>
      </c>
      <c r="K5" s="15">
        <v>815.815359373825</v>
      </c>
      <c r="L5" s="18">
        <v>815.85679180234524</v>
      </c>
      <c r="M5" s="14">
        <v>6.6169479449873642E-2</v>
      </c>
      <c r="N5" s="78"/>
      <c r="O5" s="76">
        <v>788686.38344461285</v>
      </c>
      <c r="P5" s="12">
        <v>1232980.52</v>
      </c>
      <c r="Q5" s="30">
        <v>63.9658429838464</v>
      </c>
    </row>
    <row r="6" spans="1:17" ht="14.1" customHeight="1">
      <c r="A6" s="29" t="s">
        <v>136</v>
      </c>
      <c r="B6" s="1" t="s">
        <v>137</v>
      </c>
      <c r="C6" s="15">
        <v>160979.07187600099</v>
      </c>
      <c r="D6" s="15"/>
      <c r="E6" s="15">
        <v>104772.85396385034</v>
      </c>
      <c r="F6" s="15">
        <v>4545.3400268843407</v>
      </c>
      <c r="G6" s="15">
        <v>13.8401305235225</v>
      </c>
      <c r="H6" s="18">
        <v>270311.1059972592</v>
      </c>
      <c r="I6" s="14">
        <v>2.8402662978996305</v>
      </c>
      <c r="J6" s="15"/>
      <c r="K6" s="15">
        <v>304.47086382575338</v>
      </c>
      <c r="L6" s="18">
        <v>304.47086382575338</v>
      </c>
      <c r="M6" s="14">
        <v>3.1991964593028723E-3</v>
      </c>
      <c r="N6" s="78"/>
      <c r="O6" s="76">
        <v>270615.57686108496</v>
      </c>
      <c r="P6" s="12">
        <v>9517104.3010000009</v>
      </c>
      <c r="Q6" s="30">
        <v>2.843465494358933</v>
      </c>
    </row>
    <row r="7" spans="1:17" ht="14.1" customHeight="1">
      <c r="A7" s="29" t="s">
        <v>138</v>
      </c>
      <c r="B7" s="1" t="s">
        <v>139</v>
      </c>
      <c r="C7" s="15">
        <v>27.76855690903173</v>
      </c>
      <c r="D7" s="15"/>
      <c r="E7" s="15">
        <v>19950.438405639965</v>
      </c>
      <c r="F7" s="15">
        <v>5819.1824883264298</v>
      </c>
      <c r="G7" s="15">
        <v>60097.189349234395</v>
      </c>
      <c r="H7" s="18">
        <v>85894.578800109826</v>
      </c>
      <c r="I7" s="14">
        <v>13.063821339515409</v>
      </c>
      <c r="J7" s="15">
        <v>597.58828687371886</v>
      </c>
      <c r="K7" s="15">
        <v>19338.482492949839</v>
      </c>
      <c r="L7" s="18">
        <v>19936.070779823556</v>
      </c>
      <c r="M7" s="14">
        <v>3.0321036614619912</v>
      </c>
      <c r="N7" s="78"/>
      <c r="O7" s="76">
        <v>105830.64957993339</v>
      </c>
      <c r="P7" s="12">
        <v>657499.64399999997</v>
      </c>
      <c r="Q7" s="30">
        <v>16.095925000977399</v>
      </c>
    </row>
    <row r="8" spans="1:17" ht="14.1" customHeight="1">
      <c r="A8" s="29" t="s">
        <v>140</v>
      </c>
      <c r="B8" s="1" t="s">
        <v>141</v>
      </c>
      <c r="C8" s="15">
        <v>23953.091603877747</v>
      </c>
      <c r="D8" s="15"/>
      <c r="E8" s="15">
        <v>212580.94090439234</v>
      </c>
      <c r="F8" s="15">
        <v>28182.238165566792</v>
      </c>
      <c r="G8" s="15">
        <v>3.4323727718257442</v>
      </c>
      <c r="H8" s="18">
        <v>264719.70304660872</v>
      </c>
      <c r="I8" s="14">
        <v>1.9358592511041408</v>
      </c>
      <c r="J8" s="15"/>
      <c r="K8" s="15">
        <v>54535.940887033212</v>
      </c>
      <c r="L8" s="18">
        <v>54535.940887033212</v>
      </c>
      <c r="M8" s="14">
        <v>0.39881393212821642</v>
      </c>
      <c r="N8" s="78"/>
      <c r="O8" s="76">
        <v>319255.64393364196</v>
      </c>
      <c r="P8" s="12">
        <v>13674532.530999999</v>
      </c>
      <c r="Q8" s="30">
        <v>2.3346731832323573</v>
      </c>
    </row>
    <row r="9" spans="1:17" ht="14.1" customHeight="1">
      <c r="A9" s="29" t="s">
        <v>142</v>
      </c>
      <c r="B9" s="1" t="s">
        <v>143</v>
      </c>
      <c r="C9" s="15">
        <v>169364.46181115156</v>
      </c>
      <c r="D9" s="15"/>
      <c r="E9" s="15">
        <v>924147.77317817055</v>
      </c>
      <c r="F9" s="15">
        <v>4095.5315142677869</v>
      </c>
      <c r="G9" s="15">
        <v>39630.906242689132</v>
      </c>
      <c r="H9" s="18">
        <v>1137238.672746279</v>
      </c>
      <c r="I9" s="14">
        <v>4.1779869054251062</v>
      </c>
      <c r="J9" s="15"/>
      <c r="K9" s="15">
        <v>314015.72516066581</v>
      </c>
      <c r="L9" s="18">
        <v>314015.72516066581</v>
      </c>
      <c r="M9" s="14">
        <v>1.1536308246101399</v>
      </c>
      <c r="N9" s="78"/>
      <c r="O9" s="76">
        <v>1451254.3979069449</v>
      </c>
      <c r="P9" s="12">
        <v>27219775.899</v>
      </c>
      <c r="Q9" s="30">
        <v>5.3316177300352461</v>
      </c>
    </row>
    <row r="10" spans="1:17" ht="14.1" customHeight="1">
      <c r="A10" s="29" t="s">
        <v>144</v>
      </c>
      <c r="B10" s="1" t="s">
        <v>145</v>
      </c>
      <c r="C10" s="15"/>
      <c r="D10" s="15"/>
      <c r="E10" s="15">
        <v>132794.33783064078</v>
      </c>
      <c r="F10" s="15">
        <v>151.18638736905118</v>
      </c>
      <c r="G10" s="15">
        <v>6720.6633816801432</v>
      </c>
      <c r="H10" s="18">
        <v>139666.18759968999</v>
      </c>
      <c r="I10" s="14">
        <v>2.4783624274834217</v>
      </c>
      <c r="J10" s="15"/>
      <c r="K10" s="15">
        <v>72111.232460825617</v>
      </c>
      <c r="L10" s="18">
        <v>72111.232460825617</v>
      </c>
      <c r="M10" s="14">
        <v>1.2796065547566344</v>
      </c>
      <c r="N10" s="78"/>
      <c r="O10" s="76">
        <v>211777.42006051561</v>
      </c>
      <c r="P10" s="12">
        <v>5635422.2470000004</v>
      </c>
      <c r="Q10" s="30">
        <v>3.7579689822400555</v>
      </c>
    </row>
    <row r="11" spans="1:17" ht="14.1" customHeight="1">
      <c r="A11" s="29" t="s">
        <v>146</v>
      </c>
      <c r="B11" s="1" t="s">
        <v>147</v>
      </c>
      <c r="C11" s="15"/>
      <c r="D11" s="15"/>
      <c r="E11" s="15"/>
      <c r="F11" s="15">
        <v>85.028306256267456</v>
      </c>
      <c r="G11" s="15"/>
      <c r="H11" s="18">
        <v>85.028306256267456</v>
      </c>
      <c r="I11" s="14">
        <v>1.1521889077957526E-3</v>
      </c>
      <c r="J11" s="15">
        <v>111485.61092220116</v>
      </c>
      <c r="K11" s="15">
        <v>381195.37439546234</v>
      </c>
      <c r="L11" s="18">
        <v>492680.98531766352</v>
      </c>
      <c r="M11" s="14">
        <v>6.6761481130062084</v>
      </c>
      <c r="N11" s="78"/>
      <c r="O11" s="76">
        <v>492766.01362391975</v>
      </c>
      <c r="P11" s="12">
        <v>7379719.2180000003</v>
      </c>
      <c r="Q11" s="30">
        <v>6.6773003019140038</v>
      </c>
    </row>
    <row r="12" spans="1:17" ht="14.1" customHeight="1">
      <c r="A12" s="29" t="s">
        <v>148</v>
      </c>
      <c r="B12" s="1" t="s">
        <v>149</v>
      </c>
      <c r="C12" s="15"/>
      <c r="D12" s="15"/>
      <c r="E12" s="15">
        <v>2027164.4995250099</v>
      </c>
      <c r="F12" s="15">
        <v>79.742017301900447</v>
      </c>
      <c r="G12" s="15">
        <v>4471.7579285261891</v>
      </c>
      <c r="H12" s="18">
        <v>2031715.9994708381</v>
      </c>
      <c r="I12" s="14">
        <v>16.576698800604419</v>
      </c>
      <c r="J12" s="15">
        <v>182770.75584284987</v>
      </c>
      <c r="K12" s="15">
        <v>1484591.2227408008</v>
      </c>
      <c r="L12" s="18">
        <v>1667361.9785836507</v>
      </c>
      <c r="M12" s="14">
        <v>13.603947263180336</v>
      </c>
      <c r="N12" s="78"/>
      <c r="O12" s="76">
        <v>3699077.978054489</v>
      </c>
      <c r="P12" s="12">
        <v>12256457.234999999</v>
      </c>
      <c r="Q12" s="30">
        <v>30.180646063784756</v>
      </c>
    </row>
    <row r="13" spans="1:17" ht="14.1" customHeight="1">
      <c r="A13" s="29" t="s">
        <v>150</v>
      </c>
      <c r="B13" s="1" t="s">
        <v>151</v>
      </c>
      <c r="C13" s="15">
        <v>89920.369704844023</v>
      </c>
      <c r="D13" s="15"/>
      <c r="E13" s="15">
        <v>865542.42430252919</v>
      </c>
      <c r="F13" s="15">
        <v>8710.8078058033934</v>
      </c>
      <c r="G13" s="15"/>
      <c r="H13" s="18">
        <v>964173.60181317665</v>
      </c>
      <c r="I13" s="14">
        <v>11.437176278681688</v>
      </c>
      <c r="J13" s="15">
        <v>0.97911460131502681</v>
      </c>
      <c r="K13" s="15"/>
      <c r="L13" s="18">
        <v>0.97911460131502681</v>
      </c>
      <c r="M13" s="14">
        <v>1.161440872391873E-5</v>
      </c>
      <c r="N13" s="78"/>
      <c r="O13" s="76">
        <v>964174.58092777792</v>
      </c>
      <c r="P13" s="12">
        <v>8430171.7339999992</v>
      </c>
      <c r="Q13" s="30">
        <v>11.437187893090412</v>
      </c>
    </row>
    <row r="14" spans="1:17" ht="14.1" customHeight="1">
      <c r="A14" s="29" t="s">
        <v>152</v>
      </c>
      <c r="B14" s="1" t="s">
        <v>153</v>
      </c>
      <c r="C14" s="15"/>
      <c r="D14" s="15"/>
      <c r="E14" s="15"/>
      <c r="F14" s="15"/>
      <c r="G14" s="15"/>
      <c r="H14" s="18">
        <v>0</v>
      </c>
      <c r="I14" s="14">
        <v>0</v>
      </c>
      <c r="J14" s="15"/>
      <c r="K14" s="15">
        <v>262712.37843094982</v>
      </c>
      <c r="L14" s="18">
        <v>262712.37843094982</v>
      </c>
      <c r="M14" s="14">
        <v>7.5875078572515982</v>
      </c>
      <c r="N14" s="78"/>
      <c r="O14" s="76">
        <v>262712.37843094982</v>
      </c>
      <c r="P14" s="12">
        <v>3462433.0329999998</v>
      </c>
      <c r="Q14" s="30">
        <v>7.5875078572515982</v>
      </c>
    </row>
    <row r="15" spans="1:17" ht="14.1" customHeight="1">
      <c r="A15" s="29" t="s">
        <v>154</v>
      </c>
      <c r="B15" s="1" t="s">
        <v>155</v>
      </c>
      <c r="C15" s="15"/>
      <c r="D15" s="15"/>
      <c r="E15" s="15">
        <v>652664.3560313913</v>
      </c>
      <c r="F15" s="15"/>
      <c r="G15" s="15">
        <v>249626.9154008659</v>
      </c>
      <c r="H15" s="18">
        <v>902291.27143225726</v>
      </c>
      <c r="I15" s="14">
        <v>11.755338240985346</v>
      </c>
      <c r="J15" s="15">
        <v>1195026.0343948738</v>
      </c>
      <c r="K15" s="15">
        <v>25200.517398524393</v>
      </c>
      <c r="L15" s="18">
        <v>1220226.5517933981</v>
      </c>
      <c r="M15" s="14">
        <v>15.897500398284144</v>
      </c>
      <c r="N15" s="78"/>
      <c r="O15" s="76">
        <v>2122517.8232256556</v>
      </c>
      <c r="P15" s="12">
        <v>7675587.4900000002</v>
      </c>
      <c r="Q15" s="30">
        <v>27.652838639269493</v>
      </c>
    </row>
    <row r="16" spans="1:17" ht="14.1" customHeight="1">
      <c r="A16" s="29" t="s">
        <v>156</v>
      </c>
      <c r="B16" s="1" t="s">
        <v>157</v>
      </c>
      <c r="C16" s="15"/>
      <c r="D16" s="15"/>
      <c r="E16" s="15">
        <v>165147.93689114801</v>
      </c>
      <c r="F16" s="15">
        <v>2818.6746117724128</v>
      </c>
      <c r="G16" s="15"/>
      <c r="H16" s="18">
        <v>167966.61150292042</v>
      </c>
      <c r="I16" s="14">
        <v>11.471500130464767</v>
      </c>
      <c r="J16" s="15"/>
      <c r="K16" s="15">
        <v>6597.8288947568917</v>
      </c>
      <c r="L16" s="18">
        <v>6597.8288947568917</v>
      </c>
      <c r="M16" s="14">
        <v>0.45060738172759962</v>
      </c>
      <c r="N16" s="78"/>
      <c r="O16" s="76">
        <v>174564.4403976773</v>
      </c>
      <c r="P16" s="12">
        <v>1464207.9029999999</v>
      </c>
      <c r="Q16" s="30">
        <v>11.922107512192365</v>
      </c>
    </row>
    <row r="17" spans="1:17" ht="14.1" customHeight="1">
      <c r="A17" s="29" t="s">
        <v>158</v>
      </c>
      <c r="B17" s="1" t="s">
        <v>159</v>
      </c>
      <c r="C17" s="15"/>
      <c r="D17" s="15"/>
      <c r="E17" s="15">
        <v>312512.96944486309</v>
      </c>
      <c r="F17" s="15"/>
      <c r="G17" s="15"/>
      <c r="H17" s="18">
        <v>312512.96944486309</v>
      </c>
      <c r="I17" s="14">
        <v>3.07469123296868</v>
      </c>
      <c r="J17" s="15"/>
      <c r="K17" s="15">
        <v>5495270.7571981847</v>
      </c>
      <c r="L17" s="18">
        <v>5495270.7571981847</v>
      </c>
      <c r="M17" s="14">
        <v>54.065790773292811</v>
      </c>
      <c r="N17" s="78"/>
      <c r="O17" s="76">
        <v>5807783.7266430482</v>
      </c>
      <c r="P17" s="12">
        <v>10164043.989</v>
      </c>
      <c r="Q17" s="30">
        <v>57.140482006261493</v>
      </c>
    </row>
    <row r="18" spans="1:17" ht="14.1" customHeight="1">
      <c r="A18" s="29" t="s">
        <v>160</v>
      </c>
      <c r="B18" s="1" t="s">
        <v>161</v>
      </c>
      <c r="C18" s="15"/>
      <c r="D18" s="15"/>
      <c r="E18" s="15">
        <v>772811.7561105222</v>
      </c>
      <c r="F18" s="15">
        <v>1246.9379491938591</v>
      </c>
      <c r="G18" s="15"/>
      <c r="H18" s="18">
        <v>774058.69405971607</v>
      </c>
      <c r="I18" s="14">
        <v>2.5454555265904282</v>
      </c>
      <c r="J18" s="15"/>
      <c r="K18" s="15">
        <v>1859879.2829360594</v>
      </c>
      <c r="L18" s="18">
        <v>1859879.2829360594</v>
      </c>
      <c r="M18" s="14">
        <v>6.1161253479512032</v>
      </c>
      <c r="N18" s="78"/>
      <c r="O18" s="76">
        <v>2633937.9769957755</v>
      </c>
      <c r="P18" s="12">
        <v>30409436.973999999</v>
      </c>
      <c r="Q18" s="30">
        <v>8.6615808745416309</v>
      </c>
    </row>
    <row r="19" spans="1:17" ht="14.1" customHeight="1">
      <c r="A19" s="29" t="s">
        <v>162</v>
      </c>
      <c r="B19" s="1" t="s">
        <v>163</v>
      </c>
      <c r="C19" s="15">
        <v>81919.196660130969</v>
      </c>
      <c r="D19" s="15"/>
      <c r="E19" s="15">
        <v>107641.44796723507</v>
      </c>
      <c r="F19" s="15"/>
      <c r="G19" s="15">
        <v>17393.337013818757</v>
      </c>
      <c r="H19" s="18">
        <v>206953.9816411848</v>
      </c>
      <c r="I19" s="14">
        <v>2.8022244393746214</v>
      </c>
      <c r="J19" s="15"/>
      <c r="K19" s="15"/>
      <c r="L19" s="18">
        <v>0</v>
      </c>
      <c r="M19" s="14">
        <v>0</v>
      </c>
      <c r="N19" s="78"/>
      <c r="O19" s="76">
        <v>206953.9816411848</v>
      </c>
      <c r="P19" s="12">
        <v>7385346.3959999997</v>
      </c>
      <c r="Q19" s="30">
        <v>2.8022244393746214</v>
      </c>
    </row>
    <row r="20" spans="1:17" ht="14.1" customHeight="1">
      <c r="A20" s="29" t="s">
        <v>164</v>
      </c>
      <c r="B20" s="1" t="s">
        <v>165</v>
      </c>
      <c r="C20" s="15">
        <v>1122643.9398412921</v>
      </c>
      <c r="D20" s="15"/>
      <c r="E20" s="15">
        <v>426306.32485410169</v>
      </c>
      <c r="F20" s="15"/>
      <c r="G20" s="15"/>
      <c r="H20" s="18">
        <v>1548950.2646953939</v>
      </c>
      <c r="I20" s="14">
        <v>11.996013131818874</v>
      </c>
      <c r="J20" s="15"/>
      <c r="K20" s="15">
        <v>68322.625256332103</v>
      </c>
      <c r="L20" s="18">
        <v>68322.625256332103</v>
      </c>
      <c r="M20" s="14">
        <v>0.5291319730891918</v>
      </c>
      <c r="N20" s="78"/>
      <c r="O20" s="76">
        <v>1617272.889951726</v>
      </c>
      <c r="P20" s="12">
        <v>12912208.812000001</v>
      </c>
      <c r="Q20" s="30">
        <v>12.525145104908065</v>
      </c>
    </row>
    <row r="21" spans="1:17" ht="14.1" customHeight="1">
      <c r="A21" s="29" t="s">
        <v>166</v>
      </c>
      <c r="B21" s="1" t="s">
        <v>167</v>
      </c>
      <c r="C21" s="15"/>
      <c r="D21" s="15"/>
      <c r="E21" s="15">
        <v>142641.44484607899</v>
      </c>
      <c r="F21" s="15">
        <v>1921.3241448406957</v>
      </c>
      <c r="G21" s="15"/>
      <c r="H21" s="18">
        <v>144562.76899091969</v>
      </c>
      <c r="I21" s="14">
        <v>6.9095100058454015</v>
      </c>
      <c r="J21" s="15">
        <v>39065.887207283056</v>
      </c>
      <c r="K21" s="15">
        <v>35404.759975363871</v>
      </c>
      <c r="L21" s="18">
        <v>74470.647182646935</v>
      </c>
      <c r="M21" s="14">
        <v>3.5593928190639597</v>
      </c>
      <c r="N21" s="78"/>
      <c r="O21" s="76">
        <v>219033.41617356663</v>
      </c>
      <c r="P21" s="12">
        <v>2092228.9550000001</v>
      </c>
      <c r="Q21" s="30">
        <v>10.468902824909362</v>
      </c>
    </row>
    <row r="22" spans="1:17" ht="14.1" customHeight="1">
      <c r="A22" s="29" t="s">
        <v>168</v>
      </c>
      <c r="B22" s="1" t="s">
        <v>169</v>
      </c>
      <c r="C22" s="15">
        <v>28309.372596633937</v>
      </c>
      <c r="D22" s="15"/>
      <c r="E22" s="15">
        <v>960227.85113093758</v>
      </c>
      <c r="F22" s="15"/>
      <c r="G22" s="15">
        <v>92022.249660017435</v>
      </c>
      <c r="H22" s="18">
        <v>1080559.473387589</v>
      </c>
      <c r="I22" s="14">
        <v>12.924005620656192</v>
      </c>
      <c r="J22" s="15">
        <v>2684.4917830957679</v>
      </c>
      <c r="K22" s="15">
        <v>13389.269116255327</v>
      </c>
      <c r="L22" s="18">
        <v>16073.760899351095</v>
      </c>
      <c r="M22" s="14">
        <v>0.1922498310593066</v>
      </c>
      <c r="N22" s="78"/>
      <c r="O22" s="76">
        <v>1096633.23428694</v>
      </c>
      <c r="P22" s="12">
        <v>8360871.2740000002</v>
      </c>
      <c r="Q22" s="30">
        <v>13.116255451715498</v>
      </c>
    </row>
    <row r="23" spans="1:17" ht="14.1" customHeight="1">
      <c r="A23" s="29" t="s">
        <v>170</v>
      </c>
      <c r="B23" s="1" t="s">
        <v>171</v>
      </c>
      <c r="C23" s="15">
        <v>38805.56994319785</v>
      </c>
      <c r="D23" s="15"/>
      <c r="E23" s="15">
        <v>234133.05663230387</v>
      </c>
      <c r="F23" s="15"/>
      <c r="G23" s="15">
        <v>10878.766334603191</v>
      </c>
      <c r="H23" s="18">
        <v>283817.39291010489</v>
      </c>
      <c r="I23" s="14">
        <v>2.6525562081039014</v>
      </c>
      <c r="J23" s="15">
        <v>260.93001118143684</v>
      </c>
      <c r="K23" s="15"/>
      <c r="L23" s="18">
        <v>260.93001118143684</v>
      </c>
      <c r="M23" s="14">
        <v>2.4386508308853485E-3</v>
      </c>
      <c r="N23" s="78"/>
      <c r="O23" s="76">
        <v>284078.32292128634</v>
      </c>
      <c r="P23" s="12">
        <v>10699769.228</v>
      </c>
      <c r="Q23" s="30">
        <v>2.6549948589347871</v>
      </c>
    </row>
    <row r="24" spans="1:17" ht="14.1" customHeight="1">
      <c r="A24" s="29" t="s">
        <v>172</v>
      </c>
      <c r="B24" s="1" t="s">
        <v>173</v>
      </c>
      <c r="C24" s="15"/>
      <c r="D24" s="15"/>
      <c r="E24" s="15">
        <v>617854.30501456279</v>
      </c>
      <c r="F24" s="15"/>
      <c r="G24" s="15">
        <v>67364.15799479188</v>
      </c>
      <c r="H24" s="18">
        <v>685218.46300935466</v>
      </c>
      <c r="I24" s="14">
        <v>24.100260215701219</v>
      </c>
      <c r="J24" s="15">
        <v>185448.2433838507</v>
      </c>
      <c r="K24" s="15">
        <v>11417.667131030923</v>
      </c>
      <c r="L24" s="18">
        <v>196865.91051488163</v>
      </c>
      <c r="M24" s="14">
        <v>6.9240978273885565</v>
      </c>
      <c r="N24" s="78"/>
      <c r="O24" s="76">
        <v>882084.37352423626</v>
      </c>
      <c r="P24" s="12">
        <v>2843199.4380000001</v>
      </c>
      <c r="Q24" s="30">
        <v>31.024358043089773</v>
      </c>
    </row>
    <row r="25" spans="1:17" ht="14.1" customHeight="1">
      <c r="A25" s="29" t="s">
        <v>174</v>
      </c>
      <c r="B25" s="1" t="s">
        <v>175</v>
      </c>
      <c r="C25" s="15"/>
      <c r="D25" s="15"/>
      <c r="E25" s="15"/>
      <c r="F25" s="15"/>
      <c r="G25" s="15">
        <v>209.37498083030385</v>
      </c>
      <c r="H25" s="18">
        <v>209.37498083030385</v>
      </c>
      <c r="I25" s="14">
        <v>3.6067369714078037E-3</v>
      </c>
      <c r="J25" s="15">
        <v>129622.29927344239</v>
      </c>
      <c r="K25" s="15"/>
      <c r="L25" s="18">
        <v>129622.29927344239</v>
      </c>
      <c r="M25" s="14">
        <v>2.2329006897310535</v>
      </c>
      <c r="N25" s="78"/>
      <c r="O25" s="76">
        <v>129831.6742542727</v>
      </c>
      <c r="P25" s="12">
        <v>5805108.1210000003</v>
      </c>
      <c r="Q25" s="30">
        <v>2.2365074267024614</v>
      </c>
    </row>
    <row r="26" spans="1:17" ht="14.1" customHeight="1">
      <c r="A26" s="29" t="s">
        <v>176</v>
      </c>
      <c r="B26" s="1" t="s">
        <v>177</v>
      </c>
      <c r="C26" s="15"/>
      <c r="D26" s="15"/>
      <c r="E26" s="15">
        <v>171475.91036321557</v>
      </c>
      <c r="F26" s="15"/>
      <c r="G26" s="15">
        <v>3782.2240229105801</v>
      </c>
      <c r="H26" s="18">
        <v>175258.13438612616</v>
      </c>
      <c r="I26" s="14">
        <v>2.5249347959136634</v>
      </c>
      <c r="J26" s="15"/>
      <c r="K26" s="15">
        <v>45967.300792103764</v>
      </c>
      <c r="L26" s="18">
        <v>45967.300792103764</v>
      </c>
      <c r="M26" s="14">
        <v>0.66224850361867371</v>
      </c>
      <c r="N26" s="78"/>
      <c r="O26" s="76">
        <v>221225.43517822993</v>
      </c>
      <c r="P26" s="12">
        <v>6941095.4560000002</v>
      </c>
      <c r="Q26" s="30">
        <v>3.1871832995323377</v>
      </c>
    </row>
    <row r="27" spans="1:17" ht="14.1" customHeight="1">
      <c r="A27" s="29" t="s">
        <v>178</v>
      </c>
      <c r="B27" s="1" t="s">
        <v>179</v>
      </c>
      <c r="C27" s="15"/>
      <c r="D27" s="15"/>
      <c r="E27" s="15">
        <v>460361.73859615013</v>
      </c>
      <c r="F27" s="15">
        <v>44854.254064156776</v>
      </c>
      <c r="G27" s="15">
        <v>33078.758200383687</v>
      </c>
      <c r="H27" s="18">
        <v>538294.7508606906</v>
      </c>
      <c r="I27" s="14">
        <v>4.6302031941890318</v>
      </c>
      <c r="J27" s="15"/>
      <c r="K27" s="15">
        <v>303451.07734276354</v>
      </c>
      <c r="L27" s="18">
        <v>303451.07734276354</v>
      </c>
      <c r="M27" s="14">
        <v>2.6101687697047371</v>
      </c>
      <c r="N27" s="78"/>
      <c r="O27" s="76">
        <v>841745.82820345415</v>
      </c>
      <c r="P27" s="12">
        <v>11625726.308</v>
      </c>
      <c r="Q27" s="30">
        <v>7.2403719638937689</v>
      </c>
    </row>
    <row r="28" spans="1:17" ht="14.1" customHeight="1">
      <c r="A28" s="29" t="s">
        <v>180</v>
      </c>
      <c r="B28" s="1" t="s">
        <v>181</v>
      </c>
      <c r="C28" s="15">
        <v>230521.95877523522</v>
      </c>
      <c r="D28" s="15"/>
      <c r="E28" s="15">
        <v>608801.9288407627</v>
      </c>
      <c r="F28" s="15"/>
      <c r="G28" s="15">
        <v>222.53137976123944</v>
      </c>
      <c r="H28" s="18">
        <v>839546.41899575922</v>
      </c>
      <c r="I28" s="14">
        <v>28.738524656386812</v>
      </c>
      <c r="J28" s="15">
        <v>16.179333837509919</v>
      </c>
      <c r="K28" s="15">
        <v>3757.9269911310093</v>
      </c>
      <c r="L28" s="18">
        <v>3774.1063249685194</v>
      </c>
      <c r="M28" s="14">
        <v>0.1291914839035018</v>
      </c>
      <c r="N28" s="78"/>
      <c r="O28" s="76">
        <v>843320.52532072773</v>
      </c>
      <c r="P28" s="12">
        <v>2921327.483</v>
      </c>
      <c r="Q28" s="30">
        <v>28.867716140290312</v>
      </c>
    </row>
    <row r="29" spans="1:17" ht="14.1" customHeight="1">
      <c r="A29" s="29" t="s">
        <v>182</v>
      </c>
      <c r="B29" s="1" t="s">
        <v>183</v>
      </c>
      <c r="C29" s="15">
        <v>51398.26021567369</v>
      </c>
      <c r="D29" s="15">
        <v>113682.13369361417</v>
      </c>
      <c r="E29" s="15">
        <v>60472.523053247387</v>
      </c>
      <c r="F29" s="15">
        <v>290367.32757897035</v>
      </c>
      <c r="G29" s="15">
        <v>10.672863966041819</v>
      </c>
      <c r="H29" s="18">
        <v>515930.91740547161</v>
      </c>
      <c r="I29" s="14">
        <v>8.4296808744212139</v>
      </c>
      <c r="J29" s="15">
        <v>1408.5043103480753</v>
      </c>
      <c r="K29" s="15">
        <v>379919.22077202966</v>
      </c>
      <c r="L29" s="18">
        <v>381327.72508237773</v>
      </c>
      <c r="M29" s="14">
        <v>6.2304291574121891</v>
      </c>
      <c r="N29" s="78">
        <v>5.0203545336741877</v>
      </c>
      <c r="O29" s="76">
        <v>897263.66284238303</v>
      </c>
      <c r="P29" s="12">
        <v>6120408.6500000004</v>
      </c>
      <c r="Q29" s="30">
        <v>14.660192058293084</v>
      </c>
    </row>
    <row r="30" spans="1:17" ht="14.1" customHeight="1">
      <c r="A30" s="29" t="s">
        <v>184</v>
      </c>
      <c r="B30" s="1" t="s">
        <v>185</v>
      </c>
      <c r="C30" s="15"/>
      <c r="D30" s="15"/>
      <c r="E30" s="15"/>
      <c r="F30" s="15">
        <v>751.5666346760986</v>
      </c>
      <c r="G30" s="15"/>
      <c r="H30" s="18">
        <v>751.5666346760986</v>
      </c>
      <c r="I30" s="14">
        <v>1.0341593447912681E-2</v>
      </c>
      <c r="J30" s="15">
        <v>1834.1512240556056</v>
      </c>
      <c r="K30" s="15">
        <v>303100.8653690099</v>
      </c>
      <c r="L30" s="18">
        <v>304935.01659306552</v>
      </c>
      <c r="M30" s="14">
        <v>4.195920659778964</v>
      </c>
      <c r="N30" s="78"/>
      <c r="O30" s="76">
        <v>305686.58322774159</v>
      </c>
      <c r="P30" s="12">
        <v>7267416.1720000003</v>
      </c>
      <c r="Q30" s="30">
        <v>4.2062622532268756</v>
      </c>
    </row>
    <row r="31" spans="1:17" ht="14.1" customHeight="1">
      <c r="A31" s="29" t="s">
        <v>186</v>
      </c>
      <c r="B31" s="1" t="s">
        <v>187</v>
      </c>
      <c r="C31" s="15">
        <v>230330.90804660381</v>
      </c>
      <c r="D31" s="15"/>
      <c r="E31" s="15">
        <v>203296.28925744587</v>
      </c>
      <c r="F31" s="15">
        <v>78511.120335201646</v>
      </c>
      <c r="G31" s="15">
        <v>3290.7280704265113</v>
      </c>
      <c r="H31" s="18">
        <v>515429.04570967786</v>
      </c>
      <c r="I31" s="14">
        <v>7.7909212787738653</v>
      </c>
      <c r="J31" s="15"/>
      <c r="K31" s="15">
        <v>64560.774946584519</v>
      </c>
      <c r="L31" s="18">
        <v>64560.774946584519</v>
      </c>
      <c r="M31" s="14">
        <v>0.97586257408704624</v>
      </c>
      <c r="N31" s="78">
        <v>19.564320492133106</v>
      </c>
      <c r="O31" s="76">
        <v>580009.38497675455</v>
      </c>
      <c r="P31" s="12">
        <v>6615765.0329999998</v>
      </c>
      <c r="Q31" s="30">
        <v>8.7670795755837503</v>
      </c>
    </row>
    <row r="32" spans="1:17" ht="14.1" customHeight="1">
      <c r="A32" s="29" t="s">
        <v>188</v>
      </c>
      <c r="B32" s="1" t="s">
        <v>189</v>
      </c>
      <c r="C32" s="15">
        <v>11264.2752279744</v>
      </c>
      <c r="D32" s="15"/>
      <c r="E32" s="15">
        <v>72260.685333376459</v>
      </c>
      <c r="F32" s="15">
        <v>2558.9243130116452</v>
      </c>
      <c r="G32" s="15">
        <v>10872.329967772599</v>
      </c>
      <c r="H32" s="18">
        <v>96956.214842135116</v>
      </c>
      <c r="I32" s="14">
        <v>18.036935181118917</v>
      </c>
      <c r="J32" s="15">
        <v>15951.249856025985</v>
      </c>
      <c r="K32" s="15">
        <v>74352.666623018609</v>
      </c>
      <c r="L32" s="18">
        <v>90303.916479044594</v>
      </c>
      <c r="M32" s="14">
        <v>16.799396416059952</v>
      </c>
      <c r="N32" s="78"/>
      <c r="O32" s="76">
        <v>187260.13132117971</v>
      </c>
      <c r="P32" s="12">
        <v>537542.625</v>
      </c>
      <c r="Q32" s="30">
        <v>34.836331597178862</v>
      </c>
    </row>
    <row r="33" spans="1:17" ht="14.1" customHeight="1">
      <c r="A33" s="29" t="s">
        <v>190</v>
      </c>
      <c r="B33" s="1" t="s">
        <v>191</v>
      </c>
      <c r="C33" s="15">
        <v>366988.47702306428</v>
      </c>
      <c r="D33" s="15"/>
      <c r="E33" s="15">
        <v>1479532.296062628</v>
      </c>
      <c r="F33" s="15">
        <v>842780.60867139592</v>
      </c>
      <c r="G33" s="15"/>
      <c r="H33" s="18">
        <v>2689301.3817570885</v>
      </c>
      <c r="I33" s="14">
        <v>14.878357395011765</v>
      </c>
      <c r="J33" s="15"/>
      <c r="K33" s="15"/>
      <c r="L33" s="18">
        <v>0</v>
      </c>
      <c r="M33" s="14">
        <v>0</v>
      </c>
      <c r="N33" s="78"/>
      <c r="O33" s="76">
        <v>2689301.3817570885</v>
      </c>
      <c r="P33" s="12">
        <v>18075257.304000001</v>
      </c>
      <c r="Q33" s="30">
        <v>14.878357395011765</v>
      </c>
    </row>
    <row r="34" spans="1:17" ht="14.1" customHeight="1">
      <c r="A34" s="29" t="s">
        <v>192</v>
      </c>
      <c r="B34" s="1" t="s">
        <v>193</v>
      </c>
      <c r="C34" s="15">
        <v>216854.61244333111</v>
      </c>
      <c r="D34" s="15">
        <v>9813.7637784646013</v>
      </c>
      <c r="E34" s="15">
        <v>167348.72042741333</v>
      </c>
      <c r="F34" s="15">
        <v>18707.66676887032</v>
      </c>
      <c r="G34" s="15">
        <v>76650.584155075499</v>
      </c>
      <c r="H34" s="18">
        <v>489375.34757315484</v>
      </c>
      <c r="I34" s="14">
        <v>4.0771484046885513</v>
      </c>
      <c r="J34" s="15"/>
      <c r="K34" s="15">
        <v>1408361.9358567365</v>
      </c>
      <c r="L34" s="18">
        <v>1408361.9358567365</v>
      </c>
      <c r="M34" s="14">
        <v>11.733530608923875</v>
      </c>
      <c r="N34" s="78"/>
      <c r="O34" s="76">
        <v>1897737.2834298913</v>
      </c>
      <c r="P34" s="12">
        <v>12002882.873</v>
      </c>
      <c r="Q34" s="30">
        <v>15.810679013612427</v>
      </c>
    </row>
    <row r="35" spans="1:17" ht="14.1" customHeight="1">
      <c r="A35" s="29" t="s">
        <v>194</v>
      </c>
      <c r="B35" s="1" t="s">
        <v>195</v>
      </c>
      <c r="C35" s="15">
        <v>261385.84624374221</v>
      </c>
      <c r="D35" s="15"/>
      <c r="E35" s="15">
        <v>304961.0864669588</v>
      </c>
      <c r="F35" s="15">
        <v>747.29150102292317</v>
      </c>
      <c r="G35" s="15">
        <v>59.315675898946822</v>
      </c>
      <c r="H35" s="18">
        <v>567153.53988762281</v>
      </c>
      <c r="I35" s="14">
        <v>18.049858868142408</v>
      </c>
      <c r="J35" s="15"/>
      <c r="K35" s="15">
        <v>652.19734894066312</v>
      </c>
      <c r="L35" s="18">
        <v>652.19734894066312</v>
      </c>
      <c r="M35" s="14">
        <v>2.0756407700264278E-2</v>
      </c>
      <c r="N35" s="78"/>
      <c r="O35" s="76">
        <v>567805.73723656347</v>
      </c>
      <c r="P35" s="12">
        <v>3142149.443</v>
      </c>
      <c r="Q35" s="30">
        <v>18.070615275842673</v>
      </c>
    </row>
    <row r="36" spans="1:17" ht="14.1" customHeight="1">
      <c r="A36" s="29" t="s">
        <v>196</v>
      </c>
      <c r="B36" s="1" t="s">
        <v>197</v>
      </c>
      <c r="C36" s="15">
        <v>1845737.4240618953</v>
      </c>
      <c r="D36" s="15"/>
      <c r="E36" s="15"/>
      <c r="F36" s="15">
        <v>1097401.3630845344</v>
      </c>
      <c r="G36" s="15"/>
      <c r="H36" s="18">
        <v>2943138.7871464295</v>
      </c>
      <c r="I36" s="14">
        <v>18.83136566025118</v>
      </c>
      <c r="J36" s="15"/>
      <c r="K36" s="15">
        <v>6183241.9954751953</v>
      </c>
      <c r="L36" s="18">
        <v>6183241.9954751953</v>
      </c>
      <c r="M36" s="14">
        <v>39.56282710524497</v>
      </c>
      <c r="N36" s="78"/>
      <c r="O36" s="76">
        <v>9126380.7826216258</v>
      </c>
      <c r="P36" s="12">
        <v>15628918.477</v>
      </c>
      <c r="Q36" s="30">
        <v>58.394192765496157</v>
      </c>
    </row>
    <row r="37" spans="1:17" ht="14.1" customHeight="1">
      <c r="A37" s="29" t="s">
        <v>198</v>
      </c>
      <c r="B37" s="1" t="s">
        <v>199</v>
      </c>
      <c r="C37" s="15">
        <v>17733.4072116311</v>
      </c>
      <c r="D37" s="15"/>
      <c r="E37" s="15">
        <v>2543083.767177836</v>
      </c>
      <c r="F37" s="15"/>
      <c r="G37" s="15">
        <v>262121.12647570469</v>
      </c>
      <c r="H37" s="18">
        <v>2822938.3008651719</v>
      </c>
      <c r="I37" s="14">
        <v>7.149188608260121</v>
      </c>
      <c r="J37" s="15">
        <v>16798.251594681751</v>
      </c>
      <c r="K37" s="15">
        <v>6443542.0310860416</v>
      </c>
      <c r="L37" s="18">
        <v>6460340.2826807229</v>
      </c>
      <c r="M37" s="14">
        <v>16.361034578853488</v>
      </c>
      <c r="N37" s="78"/>
      <c r="O37" s="76">
        <v>9283278.5835458953</v>
      </c>
      <c r="P37" s="12">
        <v>39486135.498000003</v>
      </c>
      <c r="Q37" s="30">
        <v>23.51022318711361</v>
      </c>
    </row>
    <row r="38" spans="1:17" ht="14.1" customHeight="1">
      <c r="A38" s="29" t="s">
        <v>200</v>
      </c>
      <c r="B38" s="1" t="s">
        <v>201</v>
      </c>
      <c r="C38" s="15">
        <v>3591934.6352014071</v>
      </c>
      <c r="D38" s="15">
        <v>493163.40451833996</v>
      </c>
      <c r="E38" s="15">
        <v>2413836.6863944479</v>
      </c>
      <c r="F38" s="15">
        <v>15252.859520674514</v>
      </c>
      <c r="G38" s="15">
        <v>704.30209073228968</v>
      </c>
      <c r="H38" s="18">
        <v>6514891.8877256019</v>
      </c>
      <c r="I38" s="14">
        <v>15.421116514855141</v>
      </c>
      <c r="J38" s="15"/>
      <c r="K38" s="15">
        <v>6422335.0642879484</v>
      </c>
      <c r="L38" s="18">
        <v>6422335.0642879484</v>
      </c>
      <c r="M38" s="14">
        <v>15.202029293904307</v>
      </c>
      <c r="N38" s="78"/>
      <c r="O38" s="76">
        <v>12937226.95201355</v>
      </c>
      <c r="P38" s="12">
        <v>42246564.193000004</v>
      </c>
      <c r="Q38" s="30">
        <v>30.62314580875945</v>
      </c>
    </row>
    <row r="39" spans="1:17" ht="14.1" customHeight="1">
      <c r="A39" s="29" t="s">
        <v>202</v>
      </c>
      <c r="B39" s="1" t="s">
        <v>203</v>
      </c>
      <c r="C39" s="15"/>
      <c r="D39" s="15"/>
      <c r="E39" s="15">
        <v>5333.6919155820733</v>
      </c>
      <c r="F39" s="15"/>
      <c r="G39" s="15">
        <v>194844.96552687645</v>
      </c>
      <c r="H39" s="18">
        <v>200178.65744245853</v>
      </c>
      <c r="I39" s="14">
        <v>7.3819853195075487</v>
      </c>
      <c r="J39" s="15">
        <v>369536.28317525797</v>
      </c>
      <c r="K39" s="15"/>
      <c r="L39" s="18">
        <v>369536.28317525797</v>
      </c>
      <c r="M39" s="14">
        <v>13.62738391933355</v>
      </c>
      <c r="N39" s="78"/>
      <c r="O39" s="76">
        <v>569714.94061771652</v>
      </c>
      <c r="P39" s="12">
        <v>2711718.4440000001</v>
      </c>
      <c r="Q39" s="30">
        <v>21.009369238841099</v>
      </c>
    </row>
    <row r="40" spans="1:17" ht="14.1" customHeight="1">
      <c r="A40" s="29" t="s">
        <v>204</v>
      </c>
      <c r="B40" s="1" t="s">
        <v>205</v>
      </c>
      <c r="C40" s="15"/>
      <c r="D40" s="15"/>
      <c r="E40" s="15">
        <v>308397.91317358805</v>
      </c>
      <c r="F40" s="15"/>
      <c r="G40" s="15"/>
      <c r="H40" s="18">
        <v>308397.91317358805</v>
      </c>
      <c r="I40" s="14">
        <v>2.6029733477696726</v>
      </c>
      <c r="J40" s="15">
        <v>702831.92767859052</v>
      </c>
      <c r="K40" s="15">
        <v>82507.501521631173</v>
      </c>
      <c r="L40" s="18">
        <v>785339.42920022167</v>
      </c>
      <c r="M40" s="14">
        <v>6.6285066008543172</v>
      </c>
      <c r="N40" s="78"/>
      <c r="O40" s="76">
        <v>1093737.3423738098</v>
      </c>
      <c r="P40" s="12">
        <v>11847908.986</v>
      </c>
      <c r="Q40" s="30">
        <v>9.2314799486239902</v>
      </c>
    </row>
    <row r="41" spans="1:17" ht="14.1" customHeight="1">
      <c r="A41" s="29" t="s">
        <v>206</v>
      </c>
      <c r="B41" s="1" t="s">
        <v>207</v>
      </c>
      <c r="C41" s="15"/>
      <c r="D41" s="15"/>
      <c r="E41" s="15">
        <v>676123.87476924504</v>
      </c>
      <c r="F41" s="15">
        <v>7825.9547222569608</v>
      </c>
      <c r="G41" s="15"/>
      <c r="H41" s="18">
        <v>683949.82949150202</v>
      </c>
      <c r="I41" s="14">
        <v>3.1029636857502476</v>
      </c>
      <c r="J41" s="15">
        <v>311045.36856486485</v>
      </c>
      <c r="K41" s="15">
        <v>379611.54665771784</v>
      </c>
      <c r="L41" s="18">
        <v>690656.91522258264</v>
      </c>
      <c r="M41" s="14">
        <v>3.133392589396923</v>
      </c>
      <c r="N41" s="78"/>
      <c r="O41" s="76">
        <v>1374606.7447140848</v>
      </c>
      <c r="P41" s="12">
        <v>22041825.131000001</v>
      </c>
      <c r="Q41" s="30">
        <v>6.2363562751471715</v>
      </c>
    </row>
    <row r="42" spans="1:17" ht="14.1" customHeight="1">
      <c r="A42" s="29" t="s">
        <v>208</v>
      </c>
      <c r="B42" s="1" t="s">
        <v>209</v>
      </c>
      <c r="C42" s="15">
        <v>111101.57171840678</v>
      </c>
      <c r="D42" s="15">
        <v>44631.478393772319</v>
      </c>
      <c r="E42" s="15">
        <v>3525.9492090993294</v>
      </c>
      <c r="F42" s="15"/>
      <c r="G42" s="15"/>
      <c r="H42" s="18">
        <v>159258.99932127842</v>
      </c>
      <c r="I42" s="14">
        <v>14.635117959702651</v>
      </c>
      <c r="J42" s="15"/>
      <c r="K42" s="15">
        <v>77.6951327256524</v>
      </c>
      <c r="L42" s="18">
        <v>77.6951327256524</v>
      </c>
      <c r="M42" s="14">
        <v>7.1398001819715871E-3</v>
      </c>
      <c r="N42" s="78"/>
      <c r="O42" s="76">
        <v>159336.69445400406</v>
      </c>
      <c r="P42" s="12">
        <v>1088197.5789999999</v>
      </c>
      <c r="Q42" s="30">
        <v>14.64225775988462</v>
      </c>
    </row>
    <row r="43" spans="1:17" ht="14.1" customHeight="1">
      <c r="A43" s="29" t="s">
        <v>210</v>
      </c>
      <c r="B43" s="1" t="s">
        <v>211</v>
      </c>
      <c r="C43" s="15">
        <v>15.766488440025718</v>
      </c>
      <c r="D43" s="15"/>
      <c r="E43" s="15">
        <v>8674.6587018273349</v>
      </c>
      <c r="F43" s="15"/>
      <c r="G43" s="15"/>
      <c r="H43" s="18">
        <v>8690.4251902673604</v>
      </c>
      <c r="I43" s="14">
        <v>31.799105315267251</v>
      </c>
      <c r="J43" s="15">
        <v>5.6926135392898987E-2</v>
      </c>
      <c r="K43" s="15"/>
      <c r="L43" s="18">
        <v>5.6926135392898987E-2</v>
      </c>
      <c r="M43" s="14">
        <v>2.0829822878830475E-4</v>
      </c>
      <c r="N43" s="78"/>
      <c r="O43" s="76">
        <v>8690.4821164027526</v>
      </c>
      <c r="P43" s="12">
        <v>27329.15</v>
      </c>
      <c r="Q43" s="30">
        <v>31.799313613496039</v>
      </c>
    </row>
    <row r="44" spans="1:17" ht="14.1" customHeight="1">
      <c r="A44" s="29" t="s">
        <v>212</v>
      </c>
      <c r="B44" s="1" t="s">
        <v>213</v>
      </c>
      <c r="C44" s="15">
        <v>116100.1392927116</v>
      </c>
      <c r="D44" s="15"/>
      <c r="E44" s="15">
        <v>512613.11495407455</v>
      </c>
      <c r="F44" s="15"/>
      <c r="G44" s="15">
        <v>5649.2087845037122</v>
      </c>
      <c r="H44" s="18">
        <v>634362.46303128987</v>
      </c>
      <c r="I44" s="14">
        <v>14.068574689081862</v>
      </c>
      <c r="J44" s="15">
        <v>1169.9855729536198</v>
      </c>
      <c r="K44" s="15">
        <v>6257.7642163598402</v>
      </c>
      <c r="L44" s="18">
        <v>7427.7497893134605</v>
      </c>
      <c r="M44" s="14">
        <v>0.16472893459588911</v>
      </c>
      <c r="N44" s="78"/>
      <c r="O44" s="76">
        <v>641790.21282060328</v>
      </c>
      <c r="P44" s="12">
        <v>4509074.1390000004</v>
      </c>
      <c r="Q44" s="30">
        <v>14.233303623677749</v>
      </c>
    </row>
    <row r="45" spans="1:17" ht="14.1" customHeight="1">
      <c r="A45" s="29" t="s">
        <v>214</v>
      </c>
      <c r="B45" s="1" t="s">
        <v>215</v>
      </c>
      <c r="C45" s="15">
        <v>11577.803953655937</v>
      </c>
      <c r="D45" s="15">
        <v>69911.659981894045</v>
      </c>
      <c r="E45" s="15">
        <v>36988.383610329496</v>
      </c>
      <c r="F45" s="15">
        <v>40945.173570442414</v>
      </c>
      <c r="G45" s="15">
        <v>1012.1626675028715</v>
      </c>
      <c r="H45" s="18">
        <v>160435.18378382479</v>
      </c>
      <c r="I45" s="14">
        <v>19.747938114256648</v>
      </c>
      <c r="J45" s="15"/>
      <c r="K45" s="15">
        <v>6613.609721634677</v>
      </c>
      <c r="L45" s="18">
        <v>6613.609721634677</v>
      </c>
      <c r="M45" s="14">
        <v>0.81406803928163962</v>
      </c>
      <c r="N45" s="78">
        <v>18.398120544223215</v>
      </c>
      <c r="O45" s="76">
        <v>167067.19162600368</v>
      </c>
      <c r="P45" s="12">
        <v>812414.86</v>
      </c>
      <c r="Q45" s="30">
        <v>20.564270774909716</v>
      </c>
    </row>
    <row r="46" spans="1:17" ht="14.1" customHeight="1">
      <c r="A46" s="29" t="s">
        <v>216</v>
      </c>
      <c r="B46" s="1" t="s">
        <v>217</v>
      </c>
      <c r="C46" s="15">
        <v>2532.9708124181616</v>
      </c>
      <c r="D46" s="15"/>
      <c r="E46" s="15">
        <v>18480.712499263976</v>
      </c>
      <c r="F46" s="15">
        <v>3114.5914150683379</v>
      </c>
      <c r="G46" s="15">
        <v>16647.63467674057</v>
      </c>
      <c r="H46" s="18">
        <v>40775.909403491045</v>
      </c>
      <c r="I46" s="14">
        <v>9.5815591579999229</v>
      </c>
      <c r="J46" s="15">
        <v>8989.9573487273974</v>
      </c>
      <c r="K46" s="15">
        <v>34060.530750274833</v>
      </c>
      <c r="L46" s="18">
        <v>43050.488099002228</v>
      </c>
      <c r="M46" s="14">
        <v>10.11604166616198</v>
      </c>
      <c r="N46" s="78">
        <v>109.97207820658444</v>
      </c>
      <c r="O46" s="76">
        <v>83936.369580699858</v>
      </c>
      <c r="P46" s="12">
        <v>425566.53600000002</v>
      </c>
      <c r="Q46" s="30">
        <v>19.723442160099697</v>
      </c>
    </row>
    <row r="47" spans="1:17" ht="14.1" customHeight="1">
      <c r="A47" s="29" t="s">
        <v>218</v>
      </c>
      <c r="B47" s="1" t="s">
        <v>219</v>
      </c>
      <c r="C47" s="15"/>
      <c r="D47" s="15"/>
      <c r="E47" s="15">
        <v>514038.08985791914</v>
      </c>
      <c r="F47" s="15">
        <v>4725195.067817606</v>
      </c>
      <c r="G47" s="15"/>
      <c r="H47" s="18">
        <v>5239233.1576755252</v>
      </c>
      <c r="I47" s="14">
        <v>47.243469745120429</v>
      </c>
      <c r="J47" s="15"/>
      <c r="K47" s="15"/>
      <c r="L47" s="18">
        <v>0</v>
      </c>
      <c r="M47" s="14">
        <v>0</v>
      </c>
      <c r="N47" s="78"/>
      <c r="O47" s="76">
        <v>5239233.1576755252</v>
      </c>
      <c r="P47" s="12">
        <v>11089856.833000001</v>
      </c>
      <c r="Q47" s="30">
        <v>47.243469745120429</v>
      </c>
    </row>
    <row r="48" spans="1:17" ht="14.1" customHeight="1">
      <c r="A48" s="29" t="s">
        <v>220</v>
      </c>
      <c r="B48" s="1" t="s">
        <v>221</v>
      </c>
      <c r="C48" s="15"/>
      <c r="D48" s="15"/>
      <c r="E48" s="15"/>
      <c r="F48" s="15">
        <v>4765.4525242856143</v>
      </c>
      <c r="G48" s="15"/>
      <c r="H48" s="18">
        <v>4765.4525242856143</v>
      </c>
      <c r="I48" s="14">
        <v>0.12127550560625561</v>
      </c>
      <c r="J48" s="15">
        <v>569554.99579072918</v>
      </c>
      <c r="K48" s="15"/>
      <c r="L48" s="18">
        <v>569554.99579072918</v>
      </c>
      <c r="M48" s="14">
        <v>14.494545844928791</v>
      </c>
      <c r="N48" s="78"/>
      <c r="O48" s="76">
        <v>574320.44831501483</v>
      </c>
      <c r="P48" s="12">
        <v>3929443.5430000001</v>
      </c>
      <c r="Q48" s="30">
        <v>14.615821350535047</v>
      </c>
    </row>
    <row r="49" spans="1:17" ht="14.1" customHeight="1">
      <c r="A49" s="29" t="s">
        <v>222</v>
      </c>
      <c r="B49" s="1" t="s">
        <v>223</v>
      </c>
      <c r="C49" s="15">
        <v>1106449.0348810707</v>
      </c>
      <c r="D49" s="15"/>
      <c r="E49" s="15">
        <v>226167.78821034759</v>
      </c>
      <c r="F49" s="15"/>
      <c r="G49" s="15">
        <v>4.0002058828254375E-2</v>
      </c>
      <c r="H49" s="18">
        <v>1332616.863093477</v>
      </c>
      <c r="I49" s="14">
        <v>18.014277641813013</v>
      </c>
      <c r="J49" s="15">
        <v>724.8821146201509</v>
      </c>
      <c r="K49" s="15"/>
      <c r="L49" s="18">
        <v>724.8821146201509</v>
      </c>
      <c r="M49" s="14">
        <v>9.7989362374112064E-3</v>
      </c>
      <c r="N49" s="78"/>
      <c r="O49" s="76">
        <v>1333341.7452080972</v>
      </c>
      <c r="P49" s="12">
        <v>7397559.2560000001</v>
      </c>
      <c r="Q49" s="30">
        <v>18.024076578050423</v>
      </c>
    </row>
    <row r="50" spans="1:17" ht="14.1" customHeight="1">
      <c r="A50" s="29" t="s">
        <v>224</v>
      </c>
      <c r="B50" s="1" t="s">
        <v>225</v>
      </c>
      <c r="C50" s="15"/>
      <c r="D50" s="15"/>
      <c r="E50" s="15">
        <v>344838.84556775575</v>
      </c>
      <c r="F50" s="15">
        <v>316.40245432469328</v>
      </c>
      <c r="G50" s="15">
        <v>169377.13507938985</v>
      </c>
      <c r="H50" s="18">
        <v>514532.3831014703</v>
      </c>
      <c r="I50" s="14">
        <v>1.537351161830973</v>
      </c>
      <c r="J50" s="15"/>
      <c r="K50" s="15">
        <v>48418.435723218638</v>
      </c>
      <c r="L50" s="18">
        <v>48418.435723218638</v>
      </c>
      <c r="M50" s="14">
        <v>0.14466754835613327</v>
      </c>
      <c r="N50" s="78"/>
      <c r="O50" s="76">
        <v>562950.8188246889</v>
      </c>
      <c r="P50" s="12">
        <v>33468760.806000002</v>
      </c>
      <c r="Q50" s="30">
        <v>1.682018710187106</v>
      </c>
    </row>
    <row r="51" spans="1:17" ht="14.1" customHeight="1">
      <c r="A51" s="29" t="s">
        <v>226</v>
      </c>
      <c r="B51" s="1" t="s">
        <v>227</v>
      </c>
      <c r="C51" s="15"/>
      <c r="D51" s="15"/>
      <c r="E51" s="15">
        <v>174320.92592066678</v>
      </c>
      <c r="F51" s="15"/>
      <c r="G51" s="15"/>
      <c r="H51" s="18">
        <v>174320.92592066678</v>
      </c>
      <c r="I51" s="14">
        <v>2.5717641386355989</v>
      </c>
      <c r="J51" s="15"/>
      <c r="K51" s="15">
        <v>197855.21034813381</v>
      </c>
      <c r="L51" s="18">
        <v>197855.21034813381</v>
      </c>
      <c r="M51" s="14">
        <v>2.9189664518366807</v>
      </c>
      <c r="N51" s="78"/>
      <c r="O51" s="76">
        <v>372176.13626880059</v>
      </c>
      <c r="P51" s="12">
        <v>6778262.5669999998</v>
      </c>
      <c r="Q51" s="30">
        <v>5.4907305904722792</v>
      </c>
    </row>
    <row r="52" spans="1:17" ht="14.1" customHeight="1">
      <c r="A52" s="29" t="s">
        <v>228</v>
      </c>
      <c r="B52" s="1" t="s">
        <v>229</v>
      </c>
      <c r="C52" s="15">
        <v>119058.33387027233</v>
      </c>
      <c r="D52" s="15"/>
      <c r="E52" s="15">
        <v>678076.79000655783</v>
      </c>
      <c r="F52" s="15"/>
      <c r="G52" s="15">
        <v>11.348896229634864</v>
      </c>
      <c r="H52" s="18">
        <v>797146.47277305974</v>
      </c>
      <c r="I52" s="14">
        <v>3.1647448016029962</v>
      </c>
      <c r="J52" s="15">
        <v>38293.90437163243</v>
      </c>
      <c r="K52" s="15">
        <v>165138.17529161501</v>
      </c>
      <c r="L52" s="18">
        <v>203432.07966324745</v>
      </c>
      <c r="M52" s="14">
        <v>0.80764406364855856</v>
      </c>
      <c r="N52" s="78"/>
      <c r="O52" s="76">
        <v>1000578.5524363071</v>
      </c>
      <c r="P52" s="12">
        <v>25188333.427999999</v>
      </c>
      <c r="Q52" s="30">
        <v>3.972388865251554</v>
      </c>
    </row>
    <row r="53" spans="1:17" ht="14.1" customHeight="1">
      <c r="A53" s="29" t="s">
        <v>230</v>
      </c>
      <c r="B53" s="1" t="s">
        <v>231</v>
      </c>
      <c r="C53" s="15">
        <v>273381.87745976367</v>
      </c>
      <c r="D53" s="15"/>
      <c r="E53" s="15">
        <v>1589118.1922994764</v>
      </c>
      <c r="F53" s="15"/>
      <c r="G53" s="15"/>
      <c r="H53" s="18">
        <v>1862500.0697592399</v>
      </c>
      <c r="I53" s="14">
        <v>6.6232694003818233</v>
      </c>
      <c r="J53" s="15"/>
      <c r="K53" s="15">
        <v>13238.480104194345</v>
      </c>
      <c r="L53" s="18">
        <v>13238.480104194345</v>
      </c>
      <c r="M53" s="14">
        <v>4.7077592965141947E-2</v>
      </c>
      <c r="N53" s="78"/>
      <c r="O53" s="76">
        <v>1875738.5498634342</v>
      </c>
      <c r="P53" s="12">
        <v>28120554.324000001</v>
      </c>
      <c r="Q53" s="30">
        <v>6.670346993346965</v>
      </c>
    </row>
    <row r="54" spans="1:17" ht="14.1" customHeight="1">
      <c r="A54" s="29" t="s">
        <v>232</v>
      </c>
      <c r="B54" s="1" t="s">
        <v>233</v>
      </c>
      <c r="C54" s="15">
        <v>698614.04509655014</v>
      </c>
      <c r="D54" s="15">
        <v>404037.85468116996</v>
      </c>
      <c r="E54" s="15">
        <v>1390733.0816046905</v>
      </c>
      <c r="F54" s="15">
        <v>222285.42115433185</v>
      </c>
      <c r="G54" s="15">
        <v>189336.07550477074</v>
      </c>
      <c r="H54" s="18">
        <v>2905006.4780415138</v>
      </c>
      <c r="I54" s="14">
        <v>14.555344277470958</v>
      </c>
      <c r="J54" s="15">
        <v>26711.621549003848</v>
      </c>
      <c r="K54" s="15">
        <v>106652.45851837595</v>
      </c>
      <c r="L54" s="18">
        <v>133364.08006737981</v>
      </c>
      <c r="M54" s="14">
        <v>0.66821196933701821</v>
      </c>
      <c r="N54" s="78"/>
      <c r="O54" s="76">
        <v>3038370.5581088937</v>
      </c>
      <c r="P54" s="12">
        <v>19958349.473999999</v>
      </c>
      <c r="Q54" s="30">
        <v>15.223556246807975</v>
      </c>
    </row>
    <row r="55" spans="1:17" ht="14.1" customHeight="1">
      <c r="A55" s="29" t="s">
        <v>234</v>
      </c>
      <c r="B55" s="1" t="s">
        <v>235</v>
      </c>
      <c r="C55" s="15">
        <v>7768.3830774247044</v>
      </c>
      <c r="D55" s="15"/>
      <c r="E55" s="15">
        <v>79033.703969955153</v>
      </c>
      <c r="F55" s="15">
        <v>34.918706438193929</v>
      </c>
      <c r="G55" s="15"/>
      <c r="H55" s="18">
        <v>86837.005753818055</v>
      </c>
      <c r="I55" s="14">
        <v>3.2138319722226298</v>
      </c>
      <c r="J55" s="15"/>
      <c r="K55" s="15">
        <v>3159.5933367725393</v>
      </c>
      <c r="L55" s="18">
        <v>3159.5933367725393</v>
      </c>
      <c r="M55" s="14">
        <v>0.11693634524581362</v>
      </c>
      <c r="N55" s="78"/>
      <c r="O55" s="76">
        <v>89996.599090590593</v>
      </c>
      <c r="P55" s="12">
        <v>2701977.1570000001</v>
      </c>
      <c r="Q55" s="30">
        <v>3.3307683174684439</v>
      </c>
    </row>
    <row r="56" spans="1:17" ht="14.1" customHeight="1">
      <c r="A56" s="29" t="s">
        <v>236</v>
      </c>
      <c r="B56" s="1" t="s">
        <v>237</v>
      </c>
      <c r="C56" s="15">
        <v>44248.544982989479</v>
      </c>
      <c r="D56" s="15"/>
      <c r="E56" s="15">
        <v>48972.044080693522</v>
      </c>
      <c r="F56" s="15">
        <v>90142.097772211273</v>
      </c>
      <c r="G56" s="15">
        <v>11716.780279915209</v>
      </c>
      <c r="H56" s="18">
        <v>195079.46711580947</v>
      </c>
      <c r="I56" s="14">
        <v>7.9358188496979416</v>
      </c>
      <c r="J56" s="15">
        <v>278.87107263215364</v>
      </c>
      <c r="K56" s="15">
        <v>40006.786399517281</v>
      </c>
      <c r="L56" s="18">
        <v>40285.657472149433</v>
      </c>
      <c r="M56" s="14">
        <v>1.6388176811564057</v>
      </c>
      <c r="N56" s="78">
        <v>5.8569346247683498</v>
      </c>
      <c r="O56" s="76">
        <v>235370.98152258369</v>
      </c>
      <c r="P56" s="12">
        <v>2458214.7200000002</v>
      </c>
      <c r="Q56" s="30">
        <v>9.5748747905383826</v>
      </c>
    </row>
    <row r="57" spans="1:17" ht="14.1" customHeight="1">
      <c r="A57" s="29" t="s">
        <v>238</v>
      </c>
      <c r="B57" s="1" t="s">
        <v>239</v>
      </c>
      <c r="C57" s="15">
        <v>26025.514674079815</v>
      </c>
      <c r="D57" s="15">
        <v>138002.79106291811</v>
      </c>
      <c r="E57" s="15">
        <v>125363.43818745189</v>
      </c>
      <c r="F57" s="15">
        <v>586.23596373499618</v>
      </c>
      <c r="G57" s="15">
        <v>3065.2950447664134</v>
      </c>
      <c r="H57" s="18">
        <v>293043.27493295114</v>
      </c>
      <c r="I57" s="14">
        <v>9.760909751660714</v>
      </c>
      <c r="J57" s="15">
        <v>645.12994167080819</v>
      </c>
      <c r="K57" s="15">
        <v>3478.8926333887084</v>
      </c>
      <c r="L57" s="18">
        <v>4124.0225750595164</v>
      </c>
      <c r="M57" s="14">
        <v>0.13736610122917034</v>
      </c>
      <c r="N57" s="78"/>
      <c r="O57" s="76">
        <v>297167.29750801064</v>
      </c>
      <c r="P57" s="12">
        <v>3002212.7280000001</v>
      </c>
      <c r="Q57" s="30">
        <v>9.8982758528898831</v>
      </c>
    </row>
    <row r="58" spans="1:17" ht="14.1" customHeight="1">
      <c r="A58" s="29" t="s">
        <v>240</v>
      </c>
      <c r="B58" s="1" t="s">
        <v>241</v>
      </c>
      <c r="C58" s="15">
        <v>1338.9547700755134</v>
      </c>
      <c r="D58" s="15"/>
      <c r="E58" s="15">
        <v>1218161.5669967853</v>
      </c>
      <c r="F58" s="15"/>
      <c r="G58" s="15">
        <v>3087.1718594634294</v>
      </c>
      <c r="H58" s="18">
        <v>1222587.6936263244</v>
      </c>
      <c r="I58" s="14">
        <v>14.519870746290792</v>
      </c>
      <c r="J58" s="15">
        <v>1218723.3548232457</v>
      </c>
      <c r="K58" s="15">
        <v>2041670.7938211844</v>
      </c>
      <c r="L58" s="18">
        <v>3260394.1486444301</v>
      </c>
      <c r="M58" s="14">
        <v>38.721559089035971</v>
      </c>
      <c r="N58" s="78"/>
      <c r="O58" s="76">
        <v>4482981.8422707543</v>
      </c>
      <c r="P58" s="12">
        <v>8420100.3920000009</v>
      </c>
      <c r="Q58" s="30">
        <v>53.241429835326755</v>
      </c>
    </row>
    <row r="59" spans="1:17" ht="14.1" customHeight="1">
      <c r="A59" s="29" t="s">
        <v>242</v>
      </c>
      <c r="B59" s="1" t="s">
        <v>243</v>
      </c>
      <c r="C59" s="15">
        <v>53385.205908673444</v>
      </c>
      <c r="D59" s="15">
        <v>499460.75287946977</v>
      </c>
      <c r="E59" s="15">
        <v>439776.16478222155</v>
      </c>
      <c r="F59" s="15">
        <v>16.173048455181181</v>
      </c>
      <c r="G59" s="15">
        <v>2111.2255323349268</v>
      </c>
      <c r="H59" s="18">
        <v>994749.52215115482</v>
      </c>
      <c r="I59" s="14">
        <v>24.889950769444123</v>
      </c>
      <c r="J59" s="15">
        <v>3252.7094749755252</v>
      </c>
      <c r="K59" s="15">
        <v>85.165891635835166</v>
      </c>
      <c r="L59" s="18">
        <v>3337.8753666113603</v>
      </c>
      <c r="M59" s="14">
        <v>8.3518063290783734E-2</v>
      </c>
      <c r="N59" s="78"/>
      <c r="O59" s="76">
        <v>998087.39751776611</v>
      </c>
      <c r="P59" s="12">
        <v>3996590.9589999998</v>
      </c>
      <c r="Q59" s="30">
        <v>24.973468832734909</v>
      </c>
    </row>
    <row r="60" spans="1:17" ht="14.1" customHeight="1">
      <c r="A60" s="29" t="s">
        <v>244</v>
      </c>
      <c r="B60" s="1" t="s">
        <v>245</v>
      </c>
      <c r="C60" s="15">
        <v>53304.137688235009</v>
      </c>
      <c r="D60" s="15">
        <v>1443.5047589359715</v>
      </c>
      <c r="E60" s="15">
        <v>188367.50546436728</v>
      </c>
      <c r="F60" s="15">
        <v>1621.3306346052645</v>
      </c>
      <c r="G60" s="15">
        <v>1988.5326259463964</v>
      </c>
      <c r="H60" s="18">
        <v>246725.0111720899</v>
      </c>
      <c r="I60" s="14">
        <v>2.8420853375775232</v>
      </c>
      <c r="J60" s="15">
        <v>3.4036214823248319</v>
      </c>
      <c r="K60" s="15">
        <v>935.28222605796111</v>
      </c>
      <c r="L60" s="18">
        <v>938.68584754028598</v>
      </c>
      <c r="M60" s="14">
        <v>1.0812950301276825E-2</v>
      </c>
      <c r="N60" s="78"/>
      <c r="O60" s="76">
        <v>247663.69701963017</v>
      </c>
      <c r="P60" s="12">
        <v>8681126.0700000003</v>
      </c>
      <c r="Q60" s="30">
        <v>2.8528982878788001</v>
      </c>
    </row>
    <row r="61" spans="1:17" ht="14.1" customHeight="1">
      <c r="A61" s="29" t="s">
        <v>246</v>
      </c>
      <c r="B61" s="1" t="s">
        <v>247</v>
      </c>
      <c r="C61" s="15">
        <v>2599634.214090819</v>
      </c>
      <c r="D61" s="15">
        <v>852051.67006269889</v>
      </c>
      <c r="E61" s="15"/>
      <c r="F61" s="15">
        <v>19964.855916867535</v>
      </c>
      <c r="G61" s="15"/>
      <c r="H61" s="18">
        <v>3471650.7400703854</v>
      </c>
      <c r="I61" s="14">
        <v>17.602243978772357</v>
      </c>
      <c r="J61" s="15">
        <v>462455.4363691691</v>
      </c>
      <c r="K61" s="15">
        <v>2300772.7670463049</v>
      </c>
      <c r="L61" s="18">
        <v>2763228.2034154739</v>
      </c>
      <c r="M61" s="14">
        <v>14.010342815924467</v>
      </c>
      <c r="N61" s="78"/>
      <c r="O61" s="76">
        <v>6234878.9434858598</v>
      </c>
      <c r="P61" s="12">
        <v>19722773.666000001</v>
      </c>
      <c r="Q61" s="30">
        <v>31.612586794696828</v>
      </c>
    </row>
    <row r="62" spans="1:17" ht="14.1" customHeight="1">
      <c r="A62" s="29" t="s">
        <v>248</v>
      </c>
      <c r="B62" s="1" t="s">
        <v>249</v>
      </c>
      <c r="C62" s="15"/>
      <c r="D62" s="15"/>
      <c r="E62" s="15">
        <v>324143.32167561894</v>
      </c>
      <c r="F62" s="15">
        <v>1454.5965963254025</v>
      </c>
      <c r="G62" s="15">
        <v>568285.04226575361</v>
      </c>
      <c r="H62" s="18">
        <v>893882.96053769789</v>
      </c>
      <c r="I62" s="14">
        <v>7.1278535285660887</v>
      </c>
      <c r="J62" s="15">
        <v>577603.88454493461</v>
      </c>
      <c r="K62" s="15">
        <v>13054.217501784824</v>
      </c>
      <c r="L62" s="18">
        <v>590658.1020467194</v>
      </c>
      <c r="M62" s="14">
        <v>4.7099280584981056</v>
      </c>
      <c r="N62" s="78"/>
      <c r="O62" s="76">
        <v>1484541.0625844174</v>
      </c>
      <c r="P62" s="12">
        <v>12540703.27</v>
      </c>
      <c r="Q62" s="30">
        <v>11.837781587064196</v>
      </c>
    </row>
    <row r="63" spans="1:17" ht="14.1" customHeight="1">
      <c r="A63" s="29" t="s">
        <v>250</v>
      </c>
      <c r="B63" s="1" t="s">
        <v>251</v>
      </c>
      <c r="C63" s="15"/>
      <c r="D63" s="15"/>
      <c r="E63" s="15">
        <v>2005.5628088248143</v>
      </c>
      <c r="F63" s="15"/>
      <c r="G63" s="15">
        <v>5.8041877611084534</v>
      </c>
      <c r="H63" s="18">
        <v>2011.3669965859228</v>
      </c>
      <c r="I63" s="14">
        <v>34.580253182116707</v>
      </c>
      <c r="J63" s="15"/>
      <c r="K63" s="15"/>
      <c r="L63" s="18">
        <v>0</v>
      </c>
      <c r="M63" s="14">
        <v>0</v>
      </c>
      <c r="N63" s="78"/>
      <c r="O63" s="76">
        <v>2011.3669965859228</v>
      </c>
      <c r="P63" s="12">
        <v>5816.5190000000002</v>
      </c>
      <c r="Q63" s="30">
        <v>34.580253182116707</v>
      </c>
    </row>
    <row r="64" spans="1:17" ht="14.1" customHeight="1">
      <c r="A64" s="29" t="s">
        <v>252</v>
      </c>
      <c r="B64" s="1" t="s">
        <v>253</v>
      </c>
      <c r="C64" s="15">
        <v>117958.82202314945</v>
      </c>
      <c r="D64" s="15"/>
      <c r="E64" s="15">
        <v>1382485.4462794522</v>
      </c>
      <c r="F64" s="15"/>
      <c r="G64" s="15"/>
      <c r="H64" s="18">
        <v>1500444.2683026015</v>
      </c>
      <c r="I64" s="14">
        <v>8.4185248264535488</v>
      </c>
      <c r="J64" s="15">
        <v>0.77136239686961916</v>
      </c>
      <c r="K64" s="15">
        <v>4882.8436327538084</v>
      </c>
      <c r="L64" s="18">
        <v>4883.6149951506777</v>
      </c>
      <c r="M64" s="14">
        <v>2.7400440621514231E-2</v>
      </c>
      <c r="N64" s="78"/>
      <c r="O64" s="76">
        <v>1505327.8832977521</v>
      </c>
      <c r="P64" s="12">
        <v>17823125.776000001</v>
      </c>
      <c r="Q64" s="30">
        <v>8.4459252670750615</v>
      </c>
    </row>
    <row r="65" spans="1:17" ht="14.1" customHeight="1">
      <c r="A65" s="29" t="s">
        <v>254</v>
      </c>
      <c r="B65" s="1" t="s">
        <v>255</v>
      </c>
      <c r="C65" s="15"/>
      <c r="D65" s="15"/>
      <c r="E65" s="64">
        <v>790695.31057479652</v>
      </c>
      <c r="F65" s="15"/>
      <c r="G65" s="15"/>
      <c r="H65" s="18">
        <v>790695.31057479652</v>
      </c>
      <c r="I65" s="14">
        <v>27.726405446793397</v>
      </c>
      <c r="J65" s="65">
        <v>425996.11506296025</v>
      </c>
      <c r="K65" s="62">
        <v>341.46294208777761</v>
      </c>
      <c r="L65" s="18">
        <v>426337.57800504804</v>
      </c>
      <c r="M65" s="14">
        <v>14.949890794696536</v>
      </c>
      <c r="N65" s="78"/>
      <c r="O65" s="76">
        <v>1217032.8885798445</v>
      </c>
      <c r="P65" s="12">
        <v>2851777.2059999998</v>
      </c>
      <c r="Q65" s="30">
        <v>42.676296241489929</v>
      </c>
    </row>
    <row r="66" spans="1:17" ht="14.1" customHeight="1">
      <c r="A66" s="29" t="s">
        <v>256</v>
      </c>
      <c r="B66" s="1" t="s">
        <v>257</v>
      </c>
      <c r="C66" s="15">
        <v>22087.49517723453</v>
      </c>
      <c r="D66" s="15"/>
      <c r="E66" s="15">
        <v>370790.79833982443</v>
      </c>
      <c r="F66" s="15">
        <v>9573.467251927048</v>
      </c>
      <c r="G66" s="15">
        <v>6426.5282067623029</v>
      </c>
      <c r="H66" s="18">
        <v>408878.28897574829</v>
      </c>
      <c r="I66" s="14">
        <v>4.2132988754527609</v>
      </c>
      <c r="J66" s="15">
        <v>24224.649087120688</v>
      </c>
      <c r="K66" s="15">
        <v>65719.379855906285</v>
      </c>
      <c r="L66" s="18">
        <v>89944.028943026977</v>
      </c>
      <c r="M66" s="14">
        <v>0.92683100623575398</v>
      </c>
      <c r="N66" s="78"/>
      <c r="O66" s="76">
        <v>498822.31791877525</v>
      </c>
      <c r="P66" s="12">
        <v>9704469.1359999999</v>
      </c>
      <c r="Q66" s="30">
        <v>5.140129881688515</v>
      </c>
    </row>
    <row r="67" spans="1:17" ht="14.1" customHeight="1">
      <c r="A67" s="29" t="s">
        <v>258</v>
      </c>
      <c r="B67" s="1" t="s">
        <v>259</v>
      </c>
      <c r="C67" s="15">
        <v>750395.62014921044</v>
      </c>
      <c r="D67" s="15"/>
      <c r="E67" s="15">
        <v>1133208.1433726286</v>
      </c>
      <c r="F67" s="15"/>
      <c r="G67" s="15">
        <v>679513.1262939258</v>
      </c>
      <c r="H67" s="18">
        <v>2563116.8898157645</v>
      </c>
      <c r="I67" s="14">
        <v>9.1591302093302769</v>
      </c>
      <c r="J67" s="15"/>
      <c r="K67" s="15">
        <v>6065645.7261482049</v>
      </c>
      <c r="L67" s="18">
        <v>6065645.7261482049</v>
      </c>
      <c r="M67" s="14">
        <v>21.675187436907116</v>
      </c>
      <c r="N67" s="78"/>
      <c r="O67" s="76">
        <v>8628762.6159639694</v>
      </c>
      <c r="P67" s="12">
        <v>27984282.691</v>
      </c>
      <c r="Q67" s="30">
        <v>30.834317646237391</v>
      </c>
    </row>
    <row r="68" spans="1:17" ht="14.1" customHeight="1">
      <c r="A68" s="29" t="s">
        <v>260</v>
      </c>
      <c r="B68" s="1" t="s">
        <v>261</v>
      </c>
      <c r="C68" s="15">
        <v>22371.654209674714</v>
      </c>
      <c r="D68" s="15"/>
      <c r="E68" s="15">
        <v>76786.953349782358</v>
      </c>
      <c r="F68" s="15">
        <v>3412.4038794135899</v>
      </c>
      <c r="G68" s="15">
        <v>3797.1650153618384</v>
      </c>
      <c r="H68" s="18">
        <v>106368.1764542325</v>
      </c>
      <c r="I68" s="14">
        <v>6.0808327860379956</v>
      </c>
      <c r="J68" s="15">
        <v>1135.1219929209517</v>
      </c>
      <c r="K68" s="15">
        <v>56913.260417486941</v>
      </c>
      <c r="L68" s="18">
        <v>58048.382410407896</v>
      </c>
      <c r="M68" s="14">
        <v>3.3184973053435671</v>
      </c>
      <c r="N68" s="78"/>
      <c r="O68" s="76">
        <v>164416.55886464039</v>
      </c>
      <c r="P68" s="12">
        <v>1749236.9909999999</v>
      </c>
      <c r="Q68" s="30">
        <v>9.3993300913815627</v>
      </c>
    </row>
    <row r="69" spans="1:17" ht="14.1" customHeight="1">
      <c r="A69" s="29" t="s">
        <v>262</v>
      </c>
      <c r="B69" s="1" t="s">
        <v>263</v>
      </c>
      <c r="C69" s="15">
        <v>51201.29676957363</v>
      </c>
      <c r="D69" s="15">
        <v>206461.63106047479</v>
      </c>
      <c r="E69" s="15">
        <v>618216.10485577036</v>
      </c>
      <c r="F69" s="15">
        <v>18012.606530892408</v>
      </c>
      <c r="G69" s="15">
        <v>577.39887226471228</v>
      </c>
      <c r="H69" s="18">
        <v>894469.03808897594</v>
      </c>
      <c r="I69" s="14">
        <v>35.325844058440644</v>
      </c>
      <c r="J69" s="15">
        <v>6214.2365127801722</v>
      </c>
      <c r="K69" s="15">
        <v>8778.5832465694984</v>
      </c>
      <c r="L69" s="18">
        <v>14992.81975934967</v>
      </c>
      <c r="M69" s="14">
        <v>0.59212112466928046</v>
      </c>
      <c r="N69" s="78"/>
      <c r="O69" s="76">
        <v>909461.85784832563</v>
      </c>
      <c r="P69" s="12">
        <v>2532052.841</v>
      </c>
      <c r="Q69" s="30">
        <v>35.917965183109921</v>
      </c>
    </row>
    <row r="70" spans="1:17" ht="14.1" customHeight="1">
      <c r="A70" s="29" t="s">
        <v>264</v>
      </c>
      <c r="B70" s="1" t="s">
        <v>265</v>
      </c>
      <c r="C70" s="15">
        <v>138976.85786947986</v>
      </c>
      <c r="D70" s="15">
        <v>191506.69479935072</v>
      </c>
      <c r="E70" s="15">
        <v>1130139.5301509583</v>
      </c>
      <c r="F70" s="15">
        <v>23213.061037175863</v>
      </c>
      <c r="G70" s="15">
        <v>22420.862157785883</v>
      </c>
      <c r="H70" s="18">
        <v>1506257.0060147506</v>
      </c>
      <c r="I70" s="14">
        <v>17.98309460740029</v>
      </c>
      <c r="J70" s="15">
        <v>9018.1575196572012</v>
      </c>
      <c r="K70" s="15">
        <v>16128.433775910864</v>
      </c>
      <c r="L70" s="18">
        <v>25146.591295568065</v>
      </c>
      <c r="M70" s="14">
        <v>0.30022335399341576</v>
      </c>
      <c r="N70" s="78"/>
      <c r="O70" s="76">
        <v>1531403.5973103186</v>
      </c>
      <c r="P70" s="12">
        <v>8375961.0839999998</v>
      </c>
      <c r="Q70" s="30">
        <v>18.283317961393703</v>
      </c>
    </row>
    <row r="71" spans="1:17" ht="14.1" customHeight="1">
      <c r="A71" s="29" t="s">
        <v>266</v>
      </c>
      <c r="B71" s="1" t="s">
        <v>267</v>
      </c>
      <c r="C71" s="15">
        <v>38751.151578411118</v>
      </c>
      <c r="D71" s="15">
        <v>63798.163466649661</v>
      </c>
      <c r="E71" s="15">
        <v>917579.20301563933</v>
      </c>
      <c r="F71" s="15">
        <v>22304.951341609692</v>
      </c>
      <c r="G71" s="15">
        <v>3944.1569258545728</v>
      </c>
      <c r="H71" s="18">
        <v>1046377.6263281645</v>
      </c>
      <c r="I71" s="14">
        <v>13.406639455853311</v>
      </c>
      <c r="J71" s="15">
        <v>2157.0174710175884</v>
      </c>
      <c r="K71" s="15">
        <v>40068.991070052143</v>
      </c>
      <c r="L71" s="18">
        <v>42226.008541069728</v>
      </c>
      <c r="M71" s="14">
        <v>0.54101775298506005</v>
      </c>
      <c r="N71" s="78"/>
      <c r="O71" s="76">
        <v>1088603.6348692342</v>
      </c>
      <c r="P71" s="12">
        <v>7804921.0599999996</v>
      </c>
      <c r="Q71" s="30">
        <v>13.947657208838372</v>
      </c>
    </row>
    <row r="72" spans="1:17" ht="14.1" customHeight="1">
      <c r="A72" s="29" t="s">
        <v>268</v>
      </c>
      <c r="B72" s="1" t="s">
        <v>269</v>
      </c>
      <c r="C72" s="15">
        <v>8134.5095924504631</v>
      </c>
      <c r="D72" s="15"/>
      <c r="E72" s="15">
        <v>26772.809104396354</v>
      </c>
      <c r="F72" s="15">
        <v>817.1742845512664</v>
      </c>
      <c r="G72" s="15">
        <v>3218.7822560168152</v>
      </c>
      <c r="H72" s="18">
        <v>38943.275237414891</v>
      </c>
      <c r="I72" s="14">
        <v>1.5958132570525845</v>
      </c>
      <c r="J72" s="15"/>
      <c r="K72" s="15">
        <v>10495.807196336031</v>
      </c>
      <c r="L72" s="18">
        <v>10495.807196336031</v>
      </c>
      <c r="M72" s="14">
        <v>0.43009603494492321</v>
      </c>
      <c r="N72" s="78"/>
      <c r="O72" s="76">
        <v>49439.082433750926</v>
      </c>
      <c r="P72" s="12">
        <v>2440340.3760000002</v>
      </c>
      <c r="Q72" s="30">
        <v>2.0259092919975079</v>
      </c>
    </row>
    <row r="73" spans="1:17" ht="14.1" customHeight="1">
      <c r="A73" s="29" t="s">
        <v>270</v>
      </c>
      <c r="B73" s="1" t="s">
        <v>271</v>
      </c>
      <c r="C73" s="15">
        <v>28472.491284872493</v>
      </c>
      <c r="D73" s="15"/>
      <c r="E73" s="15">
        <v>68411.632886172505</v>
      </c>
      <c r="F73" s="15">
        <v>26973.594073697561</v>
      </c>
      <c r="G73" s="15"/>
      <c r="H73" s="18">
        <v>123857.71824474256</v>
      </c>
      <c r="I73" s="14">
        <v>0.94071258709736605</v>
      </c>
      <c r="J73" s="15"/>
      <c r="K73" s="15">
        <v>809358.95586785837</v>
      </c>
      <c r="L73" s="18">
        <v>809358.95586785837</v>
      </c>
      <c r="M73" s="14">
        <v>6.1471676376308046</v>
      </c>
      <c r="N73" s="78"/>
      <c r="O73" s="76">
        <v>933216.67411260097</v>
      </c>
      <c r="P73" s="12">
        <v>13166371.955</v>
      </c>
      <c r="Q73" s="30">
        <v>7.0878802247281714</v>
      </c>
    </row>
    <row r="74" spans="1:17" ht="14.1" customHeight="1">
      <c r="A74" s="29" t="s">
        <v>272</v>
      </c>
      <c r="B74" s="1" t="s">
        <v>273</v>
      </c>
      <c r="C74" s="15">
        <v>11538.163628717437</v>
      </c>
      <c r="D74" s="15"/>
      <c r="E74" s="15"/>
      <c r="F74" s="15"/>
      <c r="G74" s="15">
        <v>178.48009379115661</v>
      </c>
      <c r="H74" s="18">
        <v>11716.643722508594</v>
      </c>
      <c r="I74" s="14">
        <v>0.1188598232496727</v>
      </c>
      <c r="J74" s="15">
        <v>8734.5559170917859</v>
      </c>
      <c r="K74" s="15">
        <v>48395.253133541752</v>
      </c>
      <c r="L74" s="18">
        <v>57129.809050633536</v>
      </c>
      <c r="M74" s="14">
        <v>0.57955496188732669</v>
      </c>
      <c r="N74" s="78"/>
      <c r="O74" s="76">
        <v>68846.45277314214</v>
      </c>
      <c r="P74" s="12">
        <v>9857530.8310000002</v>
      </c>
      <c r="Q74" s="30">
        <v>0.69841478513699962</v>
      </c>
    </row>
    <row r="75" spans="1:17" ht="14.1" customHeight="1">
      <c r="A75" s="29" t="s">
        <v>274</v>
      </c>
      <c r="B75" s="1" t="s">
        <v>275</v>
      </c>
      <c r="C75" s="15">
        <v>12400.067303129037</v>
      </c>
      <c r="D75" s="15"/>
      <c r="E75" s="15"/>
      <c r="F75" s="15"/>
      <c r="G75" s="15"/>
      <c r="H75" s="18">
        <v>12400.067303129037</v>
      </c>
      <c r="I75" s="14">
        <v>25.221927456819611</v>
      </c>
      <c r="J75" s="15"/>
      <c r="K75" s="15"/>
      <c r="L75" s="18">
        <v>0</v>
      </c>
      <c r="M75" s="14">
        <v>0</v>
      </c>
      <c r="N75" s="78"/>
      <c r="O75" s="76">
        <v>12400.067303129037</v>
      </c>
      <c r="P75" s="12">
        <v>49163.837</v>
      </c>
      <c r="Q75" s="30">
        <v>25.221927456819611</v>
      </c>
    </row>
    <row r="76" spans="1:17" ht="14.1" customHeight="1">
      <c r="A76" s="29" t="s">
        <v>276</v>
      </c>
      <c r="B76" s="1" t="s">
        <v>277</v>
      </c>
      <c r="C76" s="15">
        <v>81961.202486416529</v>
      </c>
      <c r="D76" s="15"/>
      <c r="E76" s="15">
        <v>82379.657470470556</v>
      </c>
      <c r="F76" s="15">
        <v>11.300320734541939</v>
      </c>
      <c r="G76" s="15">
        <v>343.04527872375132</v>
      </c>
      <c r="H76" s="18">
        <v>164695.20555634538</v>
      </c>
      <c r="I76" s="14">
        <v>10.794034639379138</v>
      </c>
      <c r="J76" s="15">
        <v>31.910153833764014</v>
      </c>
      <c r="K76" s="15">
        <v>85.642521299532802</v>
      </c>
      <c r="L76" s="18">
        <v>117.55267513329682</v>
      </c>
      <c r="M76" s="14">
        <v>7.7043387089151451E-3</v>
      </c>
      <c r="N76" s="78"/>
      <c r="O76" s="76">
        <v>164812.75823147869</v>
      </c>
      <c r="P76" s="12">
        <v>1525798.379</v>
      </c>
      <c r="Q76" s="30">
        <v>10.801738978088053</v>
      </c>
    </row>
    <row r="77" spans="1:17" ht="14.1" customHeight="1">
      <c r="A77" s="29" t="s">
        <v>278</v>
      </c>
      <c r="B77" s="1" t="s">
        <v>279</v>
      </c>
      <c r="C77" s="76">
        <v>59656.169382058783</v>
      </c>
      <c r="D77" s="79">
        <v>714981.89491857204</v>
      </c>
      <c r="E77" s="80">
        <v>672802.27664783737</v>
      </c>
      <c r="F77" s="15">
        <v>32.263354605271516</v>
      </c>
      <c r="G77" s="15">
        <v>1724.3105410929893</v>
      </c>
      <c r="H77" s="18">
        <v>1449196.9148441663</v>
      </c>
      <c r="I77" s="14">
        <v>39.927216926986851</v>
      </c>
      <c r="J77" s="81">
        <v>4843.0541148874681</v>
      </c>
      <c r="K77" s="15"/>
      <c r="L77" s="18">
        <v>4843.0541148874681</v>
      </c>
      <c r="M77" s="14">
        <v>0.13343229636604734</v>
      </c>
      <c r="N77" s="78"/>
      <c r="O77" s="76">
        <v>1454039.9689590537</v>
      </c>
      <c r="P77" s="12">
        <v>3629596.6170000001</v>
      </c>
      <c r="Q77" s="30">
        <v>40.060649223352904</v>
      </c>
    </row>
    <row r="78" spans="1:17" ht="14.1" customHeight="1">
      <c r="A78" s="29" t="s">
        <v>280</v>
      </c>
      <c r="B78" s="1" t="s">
        <v>281</v>
      </c>
      <c r="C78" s="15"/>
      <c r="D78" s="15"/>
      <c r="E78" s="15">
        <v>353704.60046706442</v>
      </c>
      <c r="F78" s="15"/>
      <c r="G78" s="15"/>
      <c r="H78" s="18">
        <v>353704.60046706442</v>
      </c>
      <c r="I78" s="14">
        <v>1.3605447758475222</v>
      </c>
      <c r="J78" s="15"/>
      <c r="K78" s="15">
        <v>11229165.554069852</v>
      </c>
      <c r="L78" s="18">
        <v>11229165.554069852</v>
      </c>
      <c r="M78" s="14">
        <v>43.193621206912439</v>
      </c>
      <c r="N78" s="78"/>
      <c r="O78" s="76">
        <v>11582870.154536918</v>
      </c>
      <c r="P78" s="12">
        <v>25997277.469000001</v>
      </c>
      <c r="Q78" s="30">
        <v>44.554165982759955</v>
      </c>
    </row>
    <row r="79" spans="1:17" ht="14.1" customHeight="1">
      <c r="A79" s="29" t="s">
        <v>282</v>
      </c>
      <c r="B79" s="1" t="s">
        <v>283</v>
      </c>
      <c r="C79" s="15">
        <v>403.8002977489582</v>
      </c>
      <c r="D79" s="15">
        <v>214440.45723687482</v>
      </c>
      <c r="E79" s="15">
        <v>5095.9586681420687</v>
      </c>
      <c r="F79" s="15">
        <v>387.14419085693987</v>
      </c>
      <c r="G79" s="15">
        <v>25625.838143566423</v>
      </c>
      <c r="H79" s="18">
        <v>245953.19853718922</v>
      </c>
      <c r="I79" s="14">
        <v>32.031435555541883</v>
      </c>
      <c r="J79" s="15">
        <v>21961.043398848899</v>
      </c>
      <c r="K79" s="15">
        <v>185248.55235795438</v>
      </c>
      <c r="L79" s="18">
        <v>207209.59575680329</v>
      </c>
      <c r="M79" s="14">
        <v>26.98570643703319</v>
      </c>
      <c r="N79" s="78"/>
      <c r="O79" s="76">
        <v>453162.79429399251</v>
      </c>
      <c r="P79" s="12">
        <v>767849.44</v>
      </c>
      <c r="Q79" s="30">
        <v>59.01714199257507</v>
      </c>
    </row>
    <row r="80" spans="1:17" ht="14.1" customHeight="1">
      <c r="A80" s="29" t="s">
        <v>284</v>
      </c>
      <c r="B80" s="1" t="s">
        <v>285</v>
      </c>
      <c r="C80" s="15">
        <v>268.53315078683011</v>
      </c>
      <c r="D80" s="15"/>
      <c r="E80" s="15"/>
      <c r="F80" s="15">
        <v>509.29542719518736</v>
      </c>
      <c r="G80" s="15">
        <v>17116.540175777769</v>
      </c>
      <c r="H80" s="18">
        <v>17894.368753759787</v>
      </c>
      <c r="I80" s="14">
        <v>4.3072824564038266</v>
      </c>
      <c r="J80" s="15">
        <v>1822.8772412236449</v>
      </c>
      <c r="K80" s="15">
        <v>6779.7213620999864</v>
      </c>
      <c r="L80" s="18">
        <v>8602.5986033236313</v>
      </c>
      <c r="M80" s="14">
        <v>2.0706973547638863</v>
      </c>
      <c r="N80" s="78">
        <v>245.15675645188747</v>
      </c>
      <c r="O80" s="76">
        <v>26742.124113535308</v>
      </c>
      <c r="P80" s="12">
        <v>415444.516</v>
      </c>
      <c r="Q80" s="30">
        <v>6.4369905206632483</v>
      </c>
    </row>
    <row r="81" spans="1:17" ht="14.1" customHeight="1">
      <c r="A81" s="29" t="s">
        <v>286</v>
      </c>
      <c r="B81" s="1" t="s">
        <v>287</v>
      </c>
      <c r="C81" s="15">
        <v>500.28434283563041</v>
      </c>
      <c r="D81" s="15">
        <v>18540.771588699656</v>
      </c>
      <c r="E81" s="15">
        <v>6933.0359920321707</v>
      </c>
      <c r="F81" s="15">
        <v>1379.9814819815329</v>
      </c>
      <c r="G81" s="15">
        <v>40366.128082320363</v>
      </c>
      <c r="H81" s="18">
        <v>67720.201487869359</v>
      </c>
      <c r="I81" s="14">
        <v>10.868211608821836</v>
      </c>
      <c r="J81" s="15">
        <v>4228.2696515687285</v>
      </c>
      <c r="K81" s="15">
        <v>17231.877485664183</v>
      </c>
      <c r="L81" s="18">
        <v>21460.147137232911</v>
      </c>
      <c r="M81" s="14">
        <v>3.4440745171982137</v>
      </c>
      <c r="N81" s="78"/>
      <c r="O81" s="76">
        <v>89180.34862510227</v>
      </c>
      <c r="P81" s="12">
        <v>623103.44999999995</v>
      </c>
      <c r="Q81" s="30">
        <v>14.31228612602005</v>
      </c>
    </row>
    <row r="82" spans="1:17" ht="14.1" customHeight="1">
      <c r="A82" s="29" t="s">
        <v>288</v>
      </c>
      <c r="B82" s="1" t="s">
        <v>289</v>
      </c>
      <c r="C82" s="15">
        <v>19376.984296937579</v>
      </c>
      <c r="D82" s="15"/>
      <c r="E82" s="15">
        <v>57978.903450686514</v>
      </c>
      <c r="F82" s="15">
        <v>5836.4840021443943</v>
      </c>
      <c r="G82" s="15">
        <v>68900.130001046302</v>
      </c>
      <c r="H82" s="18">
        <v>152092.50175081479</v>
      </c>
      <c r="I82" s="14">
        <v>13.437845308040977</v>
      </c>
      <c r="J82" s="15">
        <v>5902.0147260292097</v>
      </c>
      <c r="K82" s="15">
        <v>22272.519302601046</v>
      </c>
      <c r="L82" s="18">
        <v>28174.534028630256</v>
      </c>
      <c r="M82" s="14">
        <v>2.4893076617489571</v>
      </c>
      <c r="N82" s="78"/>
      <c r="O82" s="76">
        <v>180267.03577944505</v>
      </c>
      <c r="P82" s="12">
        <v>1131822.091</v>
      </c>
      <c r="Q82" s="30">
        <v>15.927152969789937</v>
      </c>
    </row>
    <row r="83" spans="1:17" ht="14.1" customHeight="1">
      <c r="A83" s="29" t="s">
        <v>290</v>
      </c>
      <c r="B83" s="1" t="s">
        <v>291</v>
      </c>
      <c r="C83" s="15">
        <v>29.62876638376153</v>
      </c>
      <c r="D83" s="15">
        <v>292509.1172357843</v>
      </c>
      <c r="E83" s="15">
        <v>46763.625558731947</v>
      </c>
      <c r="F83" s="15">
        <v>1190.697525211026</v>
      </c>
      <c r="G83" s="15">
        <v>19583.222495732552</v>
      </c>
      <c r="H83" s="18">
        <v>360076.29158184357</v>
      </c>
      <c r="I83" s="14">
        <v>47.551928478342667</v>
      </c>
      <c r="J83" s="15">
        <v>25161.875361485963</v>
      </c>
      <c r="K83" s="15">
        <v>28962.6195360766</v>
      </c>
      <c r="L83" s="18">
        <v>54124.494897562559</v>
      </c>
      <c r="M83" s="14">
        <v>7.1477188875411493</v>
      </c>
      <c r="N83" s="78"/>
      <c r="O83" s="76">
        <v>414200.78647940618</v>
      </c>
      <c r="P83" s="12">
        <v>757227.52599999995</v>
      </c>
      <c r="Q83" s="30">
        <v>54.69964736588382</v>
      </c>
    </row>
    <row r="84" spans="1:17" ht="14.1" customHeight="1">
      <c r="A84" s="29" t="s">
        <v>292</v>
      </c>
      <c r="B84" s="1" t="s">
        <v>293</v>
      </c>
      <c r="C84" s="15"/>
      <c r="D84" s="15">
        <v>804959.90137920529</v>
      </c>
      <c r="E84" s="15">
        <v>11775.333234940714</v>
      </c>
      <c r="F84" s="15">
        <v>8730.2347967999322</v>
      </c>
      <c r="G84" s="15">
        <v>41526.212171740168</v>
      </c>
      <c r="H84" s="18">
        <v>866991.68158268603</v>
      </c>
      <c r="I84" s="14">
        <v>55.396088892067816</v>
      </c>
      <c r="J84" s="15">
        <v>44050.158480730228</v>
      </c>
      <c r="K84" s="15">
        <v>438516.44250699395</v>
      </c>
      <c r="L84" s="18">
        <v>482566.60098772414</v>
      </c>
      <c r="M84" s="14">
        <v>30.833401164656383</v>
      </c>
      <c r="N84" s="78"/>
      <c r="O84" s="76">
        <v>1349558.2825704103</v>
      </c>
      <c r="P84" s="12">
        <v>1565077.425</v>
      </c>
      <c r="Q84" s="30">
        <v>86.229490056724217</v>
      </c>
    </row>
    <row r="85" spans="1:17" ht="14.1" customHeight="1">
      <c r="A85" s="29" t="s">
        <v>294</v>
      </c>
      <c r="B85" s="1" t="s">
        <v>295</v>
      </c>
      <c r="C85" s="15"/>
      <c r="D85" s="15"/>
      <c r="E85" s="15">
        <v>204363.00376164055</v>
      </c>
      <c r="F85" s="15"/>
      <c r="G85" s="15"/>
      <c r="H85" s="18">
        <v>204363.00376164055</v>
      </c>
      <c r="I85" s="14">
        <v>20.222355398981396</v>
      </c>
      <c r="J85" s="15"/>
      <c r="K85" s="15"/>
      <c r="L85" s="18">
        <v>0</v>
      </c>
      <c r="M85" s="14">
        <v>0</v>
      </c>
      <c r="N85" s="78"/>
      <c r="O85" s="76">
        <v>204363.00376164055</v>
      </c>
      <c r="P85" s="12">
        <v>1010579.627</v>
      </c>
      <c r="Q85" s="30">
        <v>20.222355398981396</v>
      </c>
    </row>
    <row r="86" spans="1:17" ht="14.1" customHeight="1">
      <c r="A86" s="29" t="s">
        <v>296</v>
      </c>
      <c r="B86" s="1" t="s">
        <v>297</v>
      </c>
      <c r="C86" s="15">
        <v>112640.99715473724</v>
      </c>
      <c r="D86" s="15"/>
      <c r="E86" s="15">
        <v>37538.9536316835</v>
      </c>
      <c r="F86" s="15">
        <v>2.0138271597082382</v>
      </c>
      <c r="G86" s="15">
        <v>1371.2013453211111</v>
      </c>
      <c r="H86" s="18">
        <v>151553.16595890155</v>
      </c>
      <c r="I86" s="14">
        <v>2.0757175755375057</v>
      </c>
      <c r="J86" s="15">
        <v>963343.39789729577</v>
      </c>
      <c r="K86" s="15">
        <v>187495.55596279594</v>
      </c>
      <c r="L86" s="18">
        <v>1150838.9538600917</v>
      </c>
      <c r="M86" s="14">
        <v>15.762235173552181</v>
      </c>
      <c r="N86" s="78"/>
      <c r="O86" s="76">
        <v>1302392.1198189931</v>
      </c>
      <c r="P86" s="12">
        <v>7301242.1220000004</v>
      </c>
      <c r="Q86" s="30">
        <v>17.837952749089688</v>
      </c>
    </row>
    <row r="87" spans="1:17" ht="14.1" customHeight="1">
      <c r="A87" s="29" t="s">
        <v>298</v>
      </c>
      <c r="B87" s="1" t="s">
        <v>299</v>
      </c>
      <c r="C87" s="15">
        <v>64892.053988799846</v>
      </c>
      <c r="D87" s="15"/>
      <c r="E87" s="15">
        <v>294810.09296266735</v>
      </c>
      <c r="F87" s="15">
        <v>5497.2804006825772</v>
      </c>
      <c r="G87" s="15">
        <v>10013.023228817467</v>
      </c>
      <c r="H87" s="18">
        <v>375212.45058096724</v>
      </c>
      <c r="I87" s="14">
        <v>10.813697665926265</v>
      </c>
      <c r="J87" s="15">
        <v>3450.4786599538875</v>
      </c>
      <c r="K87" s="15">
        <v>1671.9639114113279</v>
      </c>
      <c r="L87" s="18">
        <v>5122.4425713652154</v>
      </c>
      <c r="M87" s="14">
        <v>0.14762981663333741</v>
      </c>
      <c r="N87" s="78"/>
      <c r="O87" s="76">
        <v>380334.89315233246</v>
      </c>
      <c r="P87" s="12">
        <v>3469788.6159999999</v>
      </c>
      <c r="Q87" s="30">
        <v>10.961327482559602</v>
      </c>
    </row>
    <row r="88" spans="1:17" ht="14.1" customHeight="1">
      <c r="A88" s="29" t="s">
        <v>300</v>
      </c>
      <c r="B88" s="1" t="s">
        <v>301</v>
      </c>
      <c r="C88" s="15">
        <v>12409.579651435688</v>
      </c>
      <c r="D88" s="15"/>
      <c r="E88" s="15">
        <v>382572.57056479959</v>
      </c>
      <c r="F88" s="15"/>
      <c r="G88" s="15">
        <v>1.2141032285146172</v>
      </c>
      <c r="H88" s="18">
        <v>394983.36431946378</v>
      </c>
      <c r="I88" s="14">
        <v>46.756260096443945</v>
      </c>
      <c r="J88" s="15">
        <v>467.00188235210788</v>
      </c>
      <c r="K88" s="15">
        <v>142.32368994594134</v>
      </c>
      <c r="L88" s="18">
        <v>609.32557229804922</v>
      </c>
      <c r="M88" s="14">
        <v>7.2129075589977304E-2</v>
      </c>
      <c r="N88" s="78"/>
      <c r="O88" s="76">
        <v>395592.68989176181</v>
      </c>
      <c r="P88" s="12">
        <v>844771.08200000005</v>
      </c>
      <c r="Q88" s="30">
        <v>46.828389172033916</v>
      </c>
    </row>
    <row r="89" spans="1:17" ht="14.1" customHeight="1">
      <c r="A89" s="29" t="s">
        <v>302</v>
      </c>
      <c r="B89" s="1" t="s">
        <v>303</v>
      </c>
      <c r="C89" s="15"/>
      <c r="D89" s="15"/>
      <c r="E89" s="15">
        <v>946741.88811854785</v>
      </c>
      <c r="F89" s="15">
        <v>255050.37532901301</v>
      </c>
      <c r="G89" s="15">
        <v>8934.0381791052296</v>
      </c>
      <c r="H89" s="18">
        <v>1210726.301626666</v>
      </c>
      <c r="I89" s="14">
        <v>60.867839835988789</v>
      </c>
      <c r="J89" s="15">
        <v>43683.87912266131</v>
      </c>
      <c r="K89" s="15">
        <v>20692.813020416019</v>
      </c>
      <c r="L89" s="18">
        <v>64376.692143077329</v>
      </c>
      <c r="M89" s="14">
        <v>3.2364624286025219</v>
      </c>
      <c r="N89" s="78"/>
      <c r="O89" s="76">
        <v>1275102.9937697435</v>
      </c>
      <c r="P89" s="12">
        <v>1989106.7350000001</v>
      </c>
      <c r="Q89" s="30">
        <v>64.104302264591311</v>
      </c>
    </row>
    <row r="90" spans="1:17" ht="14.1" customHeight="1">
      <c r="A90" s="29" t="s">
        <v>304</v>
      </c>
      <c r="B90" s="1" t="s">
        <v>305</v>
      </c>
      <c r="C90" s="15">
        <v>610718.25970407086</v>
      </c>
      <c r="D90" s="15"/>
      <c r="E90" s="15">
        <v>987947.99203742575</v>
      </c>
      <c r="F90" s="15">
        <v>42324.429575764698</v>
      </c>
      <c r="G90" s="15">
        <v>9073.7324350436284</v>
      </c>
      <c r="H90" s="18">
        <v>1650064.4137523051</v>
      </c>
      <c r="I90" s="14">
        <v>32.433205565689263</v>
      </c>
      <c r="J90" s="15">
        <v>0.32932668743684512</v>
      </c>
      <c r="K90" s="15"/>
      <c r="L90" s="18">
        <v>0.32932668743684512</v>
      </c>
      <c r="M90" s="14">
        <v>6.4731534495780349E-6</v>
      </c>
      <c r="N90" s="78"/>
      <c r="O90" s="76">
        <v>1650064.7430789925</v>
      </c>
      <c r="P90" s="12">
        <v>5087577.33</v>
      </c>
      <c r="Q90" s="30">
        <v>32.433212038842704</v>
      </c>
    </row>
    <row r="91" spans="1:17" ht="13.5" thickBot="1">
      <c r="A91" s="31" t="s">
        <v>85</v>
      </c>
      <c r="B91" s="3"/>
      <c r="C91" s="16">
        <v>15940882.797814373</v>
      </c>
      <c r="D91" s="16">
        <v>5161140.5566426739</v>
      </c>
      <c r="E91" s="16">
        <v>37909194.484268762</v>
      </c>
      <c r="F91" s="16">
        <v>8003412.0012867302</v>
      </c>
      <c r="G91" s="16">
        <v>3071018.7226302782</v>
      </c>
      <c r="H91" s="16">
        <v>70085648.562642813</v>
      </c>
      <c r="I91" s="45">
        <v>9.1159197808671539</v>
      </c>
      <c r="J91" s="16">
        <v>7906914.3846512306</v>
      </c>
      <c r="K91" s="16">
        <v>58926872.233497985</v>
      </c>
      <c r="L91" s="16">
        <v>66833786.618149236</v>
      </c>
      <c r="M91" s="45">
        <v>8.6929556900381684</v>
      </c>
      <c r="N91" s="71">
        <v>403.96856485327078</v>
      </c>
      <c r="O91" s="71">
        <v>136919839.1493569</v>
      </c>
      <c r="P91" s="16">
        <v>768911152.3720001</v>
      </c>
      <c r="Q91" s="32">
        <v>17.80892801440184</v>
      </c>
    </row>
    <row r="92" spans="1:17">
      <c r="A92" s="13" t="s">
        <v>103</v>
      </c>
      <c r="B92" s="19">
        <v>768826956</v>
      </c>
    </row>
    <row r="93" spans="1:17">
      <c r="A93" s="23"/>
    </row>
    <row r="95" spans="1:17">
      <c r="A95" s="84" t="s">
        <v>1173</v>
      </c>
      <c r="B95" s="21"/>
    </row>
    <row r="97" spans="1:4" ht="50.1" customHeight="1">
      <c r="A97" s="89"/>
      <c r="B97" s="89"/>
      <c r="C97" s="89"/>
      <c r="D97" s="89"/>
    </row>
  </sheetData>
  <mergeCells count="1">
    <mergeCell ref="A97:D9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26"/>
  <sheetViews>
    <sheetView zoomScaleNormal="100" workbookViewId="0">
      <selection activeCell="N19" sqref="N19"/>
    </sheetView>
  </sheetViews>
  <sheetFormatPr defaultRowHeight="12.75"/>
  <cols>
    <col min="1" max="1" width="25.7109375" style="13" customWidth="1"/>
    <col min="2" max="2" width="33.140625" style="13" bestFit="1" customWidth="1"/>
    <col min="3" max="3" width="10.42578125" style="13" bestFit="1" customWidth="1"/>
    <col min="4" max="4" width="14.42578125" style="13" bestFit="1" customWidth="1"/>
    <col min="5" max="6" width="11.28515625" style="13" bestFit="1" customWidth="1"/>
    <col min="7" max="7" width="12.85546875" style="13" bestFit="1" customWidth="1"/>
    <col min="8" max="8" width="14.5703125" style="13" customWidth="1"/>
    <col min="9" max="16384" width="9.140625" style="13"/>
  </cols>
  <sheetData>
    <row r="1" spans="1:8" ht="13.5" thickBot="1">
      <c r="A1" s="86" t="s">
        <v>327</v>
      </c>
      <c r="B1" s="86"/>
      <c r="C1" s="86"/>
      <c r="D1" s="86"/>
      <c r="E1" s="86"/>
      <c r="F1" s="86"/>
      <c r="G1" s="86"/>
      <c r="H1" s="86"/>
    </row>
    <row r="2" spans="1:8" s="54" customFormat="1" ht="25.5">
      <c r="A2" s="57" t="s">
        <v>328</v>
      </c>
      <c r="B2" s="58" t="s">
        <v>329</v>
      </c>
      <c r="C2" s="58" t="s">
        <v>330</v>
      </c>
      <c r="D2" s="58" t="s">
        <v>4</v>
      </c>
      <c r="E2" s="58" t="s">
        <v>331</v>
      </c>
      <c r="F2" s="58" t="s">
        <v>332</v>
      </c>
      <c r="G2" s="58" t="s">
        <v>333</v>
      </c>
      <c r="H2" s="59" t="s">
        <v>310</v>
      </c>
    </row>
    <row r="3" spans="1:8" ht="14.1" customHeight="1">
      <c r="A3" s="29" t="s">
        <v>177</v>
      </c>
      <c r="B3" s="1" t="s">
        <v>334</v>
      </c>
      <c r="C3" s="1" t="s">
        <v>335</v>
      </c>
      <c r="D3" s="1" t="s">
        <v>28</v>
      </c>
      <c r="E3" s="12">
        <v>2866760.3709999998</v>
      </c>
      <c r="F3" s="12">
        <v>131750.44660877698</v>
      </c>
      <c r="G3" s="2">
        <f>F3/E3*100</f>
        <v>4.5957955865986468</v>
      </c>
      <c r="H3" s="30">
        <v>9.6224511678943303E-2</v>
      </c>
    </row>
    <row r="4" spans="1:8" ht="14.1" customHeight="1">
      <c r="A4" s="29" t="s">
        <v>133</v>
      </c>
      <c r="B4" s="1" t="s">
        <v>336</v>
      </c>
      <c r="C4" s="1" t="s">
        <v>337</v>
      </c>
      <c r="D4" s="1" t="s">
        <v>19</v>
      </c>
      <c r="E4" s="12">
        <v>1038621.409</v>
      </c>
      <c r="F4" s="12">
        <v>965449.83073699998</v>
      </c>
      <c r="G4" s="2">
        <f t="shared" ref="G4:G67" si="0">F4/E4*100</f>
        <v>92.954932603069423</v>
      </c>
      <c r="H4" s="30">
        <v>0.70512048273388905</v>
      </c>
    </row>
    <row r="5" spans="1:8" ht="14.1" customHeight="1">
      <c r="A5" s="29" t="s">
        <v>199</v>
      </c>
      <c r="B5" s="1" t="s">
        <v>338</v>
      </c>
      <c r="C5" s="1" t="s">
        <v>339</v>
      </c>
      <c r="D5" s="1" t="s">
        <v>317</v>
      </c>
      <c r="E5" s="12">
        <v>722845.20299999998</v>
      </c>
      <c r="F5" s="12">
        <v>0</v>
      </c>
      <c r="G5" s="2">
        <f t="shared" si="0"/>
        <v>0</v>
      </c>
      <c r="H5" s="30">
        <v>0</v>
      </c>
    </row>
    <row r="6" spans="1:8" ht="14.1" customHeight="1">
      <c r="A6" s="29" t="s">
        <v>141</v>
      </c>
      <c r="B6" s="1" t="s">
        <v>340</v>
      </c>
      <c r="C6" s="1" t="s">
        <v>341</v>
      </c>
      <c r="D6" s="1" t="s">
        <v>28</v>
      </c>
      <c r="E6" s="12">
        <v>382283.52399999998</v>
      </c>
      <c r="F6" s="12">
        <v>195.805625228</v>
      </c>
      <c r="G6" s="2">
        <f t="shared" si="0"/>
        <v>5.1220001107868826E-2</v>
      </c>
      <c r="H6" s="30">
        <v>1.4300748996701545E-4</v>
      </c>
    </row>
    <row r="7" spans="1:8" ht="14.1" customHeight="1">
      <c r="A7" s="29" t="s">
        <v>259</v>
      </c>
      <c r="B7" s="1" t="s">
        <v>342</v>
      </c>
      <c r="C7" s="1" t="s">
        <v>343</v>
      </c>
      <c r="D7" s="1" t="s">
        <v>317</v>
      </c>
      <c r="E7" s="12">
        <v>1355194.952</v>
      </c>
      <c r="F7" s="12">
        <v>0</v>
      </c>
      <c r="G7" s="2">
        <f t="shared" si="0"/>
        <v>0</v>
      </c>
      <c r="H7" s="30">
        <v>0</v>
      </c>
    </row>
    <row r="8" spans="1:8" ht="14.1" customHeight="1">
      <c r="A8" s="29" t="s">
        <v>297</v>
      </c>
      <c r="B8" s="1" t="s">
        <v>344</v>
      </c>
      <c r="C8" s="1" t="s">
        <v>345</v>
      </c>
      <c r="D8" s="1" t="s">
        <v>19</v>
      </c>
      <c r="E8" s="12">
        <v>689003.99699999997</v>
      </c>
      <c r="F8" s="12">
        <v>7118.51995188</v>
      </c>
      <c r="G8" s="2">
        <f t="shared" si="0"/>
        <v>1.0331609080462272</v>
      </c>
      <c r="H8" s="30">
        <v>5.19904200613796E-3</v>
      </c>
    </row>
    <row r="9" spans="1:8" ht="14.1" customHeight="1">
      <c r="A9" s="29" t="s">
        <v>143</v>
      </c>
      <c r="B9" s="1" t="s">
        <v>346</v>
      </c>
      <c r="C9" s="1" t="s">
        <v>347</v>
      </c>
      <c r="D9" s="1" t="s">
        <v>28</v>
      </c>
      <c r="E9" s="12">
        <v>715288.45</v>
      </c>
      <c r="F9" s="12">
        <v>115404.07737056201</v>
      </c>
      <c r="G9" s="2">
        <f t="shared" si="0"/>
        <v>16.133921548790845</v>
      </c>
      <c r="H9" s="30">
        <v>8.4285869813526273E-2</v>
      </c>
    </row>
    <row r="10" spans="1:8" ht="14.1" customHeight="1">
      <c r="A10" s="29" t="s">
        <v>193</v>
      </c>
      <c r="B10" s="1" t="s">
        <v>348</v>
      </c>
      <c r="C10" s="1" t="s">
        <v>349</v>
      </c>
      <c r="D10" s="1" t="s">
        <v>31</v>
      </c>
      <c r="E10" s="12">
        <v>1089865.4439999999</v>
      </c>
      <c r="F10" s="12">
        <v>1789.4726664299999</v>
      </c>
      <c r="G10" s="2">
        <f t="shared" si="0"/>
        <v>0.16419207309319922</v>
      </c>
      <c r="H10" s="30">
        <v>1.3069491445547197E-3</v>
      </c>
    </row>
    <row r="11" spans="1:8" ht="14.1" customHeight="1">
      <c r="A11" s="29" t="s">
        <v>239</v>
      </c>
      <c r="B11" s="1" t="s">
        <v>350</v>
      </c>
      <c r="C11" s="1" t="s">
        <v>351</v>
      </c>
      <c r="D11" s="1" t="s">
        <v>10</v>
      </c>
      <c r="E11" s="12">
        <v>290577.02899999998</v>
      </c>
      <c r="F11" s="12">
        <v>9243.3250335597968</v>
      </c>
      <c r="G11" s="2">
        <f t="shared" si="0"/>
        <v>3.1810240008888648</v>
      </c>
      <c r="H11" s="30">
        <v>6.7509026385705719E-3</v>
      </c>
    </row>
    <row r="12" spans="1:8" ht="14.1" customHeight="1">
      <c r="A12" s="29" t="s">
        <v>207</v>
      </c>
      <c r="B12" s="1" t="s">
        <v>352</v>
      </c>
      <c r="C12" s="1" t="s">
        <v>353</v>
      </c>
      <c r="D12" s="1" t="s">
        <v>28</v>
      </c>
      <c r="E12" s="12">
        <v>1589436.5689999999</v>
      </c>
      <c r="F12" s="12">
        <v>11123.454006665002</v>
      </c>
      <c r="G12" s="2">
        <f t="shared" si="0"/>
        <v>0.69983629567950401</v>
      </c>
      <c r="H12" s="30">
        <v>8.1240630109804916E-3</v>
      </c>
    </row>
    <row r="13" spans="1:8" ht="14.1" customHeight="1">
      <c r="A13" s="29" t="s">
        <v>191</v>
      </c>
      <c r="B13" s="1" t="s">
        <v>354</v>
      </c>
      <c r="C13" s="1" t="s">
        <v>355</v>
      </c>
      <c r="D13" s="1" t="s">
        <v>7</v>
      </c>
      <c r="E13" s="12">
        <v>3687030.017</v>
      </c>
      <c r="F13" s="12">
        <v>394044.29099800001</v>
      </c>
      <c r="G13" s="2">
        <f t="shared" si="0"/>
        <v>10.687309004297701</v>
      </c>
      <c r="H13" s="30">
        <v>0.28779196167546078</v>
      </c>
    </row>
    <row r="14" spans="1:8" ht="14.1" customHeight="1">
      <c r="A14" s="29" t="s">
        <v>175</v>
      </c>
      <c r="B14" s="1" t="s">
        <v>356</v>
      </c>
      <c r="C14" s="1" t="s">
        <v>357</v>
      </c>
      <c r="D14" s="1" t="s">
        <v>19</v>
      </c>
      <c r="E14" s="12">
        <v>1218620.9809999999</v>
      </c>
      <c r="F14" s="12">
        <v>209.37501493400001</v>
      </c>
      <c r="G14" s="2">
        <f t="shared" si="0"/>
        <v>1.718130724798345E-2</v>
      </c>
      <c r="H14" s="30">
        <v>1.5291795275366798E-4</v>
      </c>
    </row>
    <row r="15" spans="1:8" ht="14.1" customHeight="1">
      <c r="A15" s="29" t="s">
        <v>147</v>
      </c>
      <c r="B15" s="1" t="s">
        <v>358</v>
      </c>
      <c r="C15" s="1" t="s">
        <v>359</v>
      </c>
      <c r="D15" s="1" t="s">
        <v>19</v>
      </c>
      <c r="E15" s="12">
        <v>3531110.7779999999</v>
      </c>
      <c r="F15" s="12">
        <v>112463.2176286</v>
      </c>
      <c r="G15" s="2">
        <f t="shared" si="0"/>
        <v>3.1849246511687892</v>
      </c>
      <c r="H15" s="30">
        <v>8.2138000110838646E-2</v>
      </c>
    </row>
    <row r="16" spans="1:8" ht="14.1" customHeight="1">
      <c r="A16" s="29" t="s">
        <v>303</v>
      </c>
      <c r="B16" s="1" t="s">
        <v>360</v>
      </c>
      <c r="C16" s="1" t="s">
        <v>361</v>
      </c>
      <c r="D16" s="1" t="s">
        <v>28</v>
      </c>
      <c r="E16" s="12">
        <v>177037.19500000001</v>
      </c>
      <c r="F16" s="12">
        <v>37979.904487128828</v>
      </c>
      <c r="G16" s="2">
        <f t="shared" si="0"/>
        <v>21.453064982829638</v>
      </c>
      <c r="H16" s="30">
        <v>2.7738788421256225E-2</v>
      </c>
    </row>
    <row r="17" spans="1:8" ht="14.1" customHeight="1">
      <c r="A17" s="29" t="s">
        <v>191</v>
      </c>
      <c r="B17" s="1" t="s">
        <v>362</v>
      </c>
      <c r="C17" s="1" t="s">
        <v>363</v>
      </c>
      <c r="D17" s="1" t="s">
        <v>7</v>
      </c>
      <c r="E17" s="12">
        <v>9669570.9930000007</v>
      </c>
      <c r="F17" s="12">
        <v>993491.45940075989</v>
      </c>
      <c r="G17" s="2">
        <f t="shared" si="0"/>
        <v>10.274410934259324</v>
      </c>
      <c r="H17" s="30">
        <v>0.72560080818481465</v>
      </c>
    </row>
    <row r="18" spans="1:8" ht="14.1" customHeight="1">
      <c r="A18" s="29" t="s">
        <v>271</v>
      </c>
      <c r="B18" s="1" t="s">
        <v>364</v>
      </c>
      <c r="C18" s="1" t="s">
        <v>365</v>
      </c>
      <c r="D18" s="1" t="s">
        <v>31</v>
      </c>
      <c r="E18" s="12">
        <v>2688870.2059999998</v>
      </c>
      <c r="F18" s="12">
        <v>45019.142182796</v>
      </c>
      <c r="G18" s="2">
        <f t="shared" si="0"/>
        <v>1.6742772515512043</v>
      </c>
      <c r="H18" s="30">
        <v>3.2879926286761264E-2</v>
      </c>
    </row>
    <row r="19" spans="1:8" ht="14.1" customHeight="1">
      <c r="A19" s="29" t="s">
        <v>143</v>
      </c>
      <c r="B19" s="1" t="s">
        <v>366</v>
      </c>
      <c r="C19" s="1" t="s">
        <v>367</v>
      </c>
      <c r="D19" s="1" t="s">
        <v>28</v>
      </c>
      <c r="E19" s="12">
        <v>1547554.66</v>
      </c>
      <c r="F19" s="12">
        <v>12247.101969695199</v>
      </c>
      <c r="G19" s="2">
        <f t="shared" si="0"/>
        <v>0.79138412918450318</v>
      </c>
      <c r="H19" s="30">
        <v>8.9447241876570421E-3</v>
      </c>
    </row>
    <row r="20" spans="1:8" ht="14.1" customHeight="1">
      <c r="A20" s="29" t="s">
        <v>143</v>
      </c>
      <c r="B20" s="1" t="s">
        <v>368</v>
      </c>
      <c r="C20" s="1" t="s">
        <v>369</v>
      </c>
      <c r="D20" s="1" t="s">
        <v>28</v>
      </c>
      <c r="E20" s="12">
        <v>1301711.737</v>
      </c>
      <c r="F20" s="12">
        <v>7827.7453504489004</v>
      </c>
      <c r="G20" s="2">
        <f t="shared" si="0"/>
        <v>0.6013424576234655</v>
      </c>
      <c r="H20" s="30">
        <v>5.7170278604876182E-3</v>
      </c>
    </row>
    <row r="21" spans="1:8" ht="14.1" customHeight="1">
      <c r="A21" s="29" t="s">
        <v>175</v>
      </c>
      <c r="B21" s="1" t="s">
        <v>370</v>
      </c>
      <c r="C21" s="1" t="s">
        <v>371</v>
      </c>
      <c r="D21" s="1" t="s">
        <v>317</v>
      </c>
      <c r="E21" s="12">
        <v>2996896.7340000002</v>
      </c>
      <c r="F21" s="12">
        <v>0</v>
      </c>
      <c r="G21" s="2">
        <f t="shared" si="0"/>
        <v>0</v>
      </c>
      <c r="H21" s="30">
        <v>0</v>
      </c>
    </row>
    <row r="22" spans="1:8" ht="14.1" customHeight="1">
      <c r="A22" s="29" t="s">
        <v>225</v>
      </c>
      <c r="B22" s="1" t="s">
        <v>372</v>
      </c>
      <c r="C22" s="1" t="s">
        <v>373</v>
      </c>
      <c r="D22" s="1" t="s">
        <v>320</v>
      </c>
      <c r="E22" s="12">
        <v>9479612.466</v>
      </c>
      <c r="F22" s="12">
        <v>168011.49637278498</v>
      </c>
      <c r="G22" s="2">
        <f t="shared" si="0"/>
        <v>1.7723456204078225</v>
      </c>
      <c r="H22" s="30">
        <v>0.12270792707766642</v>
      </c>
    </row>
    <row r="23" spans="1:8" ht="14.1" customHeight="1">
      <c r="A23" s="29" t="s">
        <v>163</v>
      </c>
      <c r="B23" s="1" t="s">
        <v>374</v>
      </c>
      <c r="C23" s="1" t="s">
        <v>375</v>
      </c>
      <c r="D23" s="1" t="s">
        <v>10</v>
      </c>
      <c r="E23" s="12">
        <v>1773541.949</v>
      </c>
      <c r="F23" s="12">
        <v>72303.57641122285</v>
      </c>
      <c r="G23" s="2">
        <f t="shared" si="0"/>
        <v>4.0767897512652995</v>
      </c>
      <c r="H23" s="30">
        <v>5.2807231488713566E-2</v>
      </c>
    </row>
    <row r="24" spans="1:8" ht="14.1" customHeight="1">
      <c r="A24" s="29" t="s">
        <v>145</v>
      </c>
      <c r="B24" s="1" t="s">
        <v>376</v>
      </c>
      <c r="C24" s="1" t="s">
        <v>377</v>
      </c>
      <c r="D24" s="1" t="s">
        <v>31</v>
      </c>
      <c r="E24" s="12">
        <v>1802995.7050000001</v>
      </c>
      <c r="F24" s="12">
        <v>46132.416859869001</v>
      </c>
      <c r="G24" s="2">
        <f t="shared" si="0"/>
        <v>2.5586537301190631</v>
      </c>
      <c r="H24" s="30">
        <v>3.3693011288924338E-2</v>
      </c>
    </row>
    <row r="25" spans="1:8" ht="14.1" customHeight="1">
      <c r="A25" s="29" t="s">
        <v>145</v>
      </c>
      <c r="B25" s="1" t="s">
        <v>378</v>
      </c>
      <c r="C25" s="1" t="s">
        <v>379</v>
      </c>
      <c r="D25" s="1" t="s">
        <v>312</v>
      </c>
      <c r="E25" s="12">
        <v>1954973.1810000001</v>
      </c>
      <c r="F25" s="12">
        <v>7847.7406031310002</v>
      </c>
      <c r="G25" s="2">
        <f t="shared" si="0"/>
        <v>0.40142446348633565</v>
      </c>
      <c r="H25" s="30">
        <v>5.7316314802457E-3</v>
      </c>
    </row>
    <row r="26" spans="1:8" ht="14.1" customHeight="1">
      <c r="A26" s="29" t="s">
        <v>243</v>
      </c>
      <c r="B26" s="1" t="s">
        <v>380</v>
      </c>
      <c r="C26" s="1" t="s">
        <v>381</v>
      </c>
      <c r="D26" s="1" t="s">
        <v>10</v>
      </c>
      <c r="E26" s="12">
        <v>110903.045</v>
      </c>
      <c r="F26" s="12">
        <v>72359.855822752448</v>
      </c>
      <c r="G26" s="2">
        <f t="shared" si="0"/>
        <v>65.246049666853096</v>
      </c>
      <c r="H26" s="30">
        <v>5.2848335401690004E-2</v>
      </c>
    </row>
    <row r="27" spans="1:8" ht="14.1" customHeight="1">
      <c r="A27" s="29" t="s">
        <v>141</v>
      </c>
      <c r="B27" s="1" t="s">
        <v>382</v>
      </c>
      <c r="C27" s="1" t="s">
        <v>383</v>
      </c>
      <c r="D27" s="1" t="s">
        <v>28</v>
      </c>
      <c r="E27" s="12">
        <v>1274731.1129999999</v>
      </c>
      <c r="F27" s="12">
        <v>15296.193096232295</v>
      </c>
      <c r="G27" s="2">
        <f t="shared" si="0"/>
        <v>1.1999544798301551</v>
      </c>
      <c r="H27" s="30">
        <v>1.1171641152780147E-2</v>
      </c>
    </row>
    <row r="28" spans="1:8" ht="14.1" customHeight="1">
      <c r="A28" s="29" t="s">
        <v>263</v>
      </c>
      <c r="B28" s="1" t="s">
        <v>384</v>
      </c>
      <c r="C28" s="1" t="s">
        <v>385</v>
      </c>
      <c r="D28" s="1" t="s">
        <v>10</v>
      </c>
      <c r="E28" s="12">
        <v>174020.424</v>
      </c>
      <c r="F28" s="12">
        <v>27538.163171658583</v>
      </c>
      <c r="G28" s="2">
        <f t="shared" si="0"/>
        <v>15.824673069213176</v>
      </c>
      <c r="H28" s="30">
        <v>2.0112617239138677E-2</v>
      </c>
    </row>
    <row r="29" spans="1:8" ht="14.1" customHeight="1">
      <c r="A29" s="29" t="s">
        <v>265</v>
      </c>
      <c r="B29" s="1" t="s">
        <v>386</v>
      </c>
      <c r="C29" s="1" t="s">
        <v>387</v>
      </c>
      <c r="D29" s="1" t="s">
        <v>10</v>
      </c>
      <c r="E29" s="12">
        <v>161486.48300000001</v>
      </c>
      <c r="F29" s="12">
        <v>4237.0797046409007</v>
      </c>
      <c r="G29" s="2">
        <f t="shared" si="0"/>
        <v>2.6237983674713505</v>
      </c>
      <c r="H29" s="30">
        <v>3.0945695898435843E-3</v>
      </c>
    </row>
    <row r="30" spans="1:8" ht="14.1" customHeight="1">
      <c r="A30" s="29" t="s">
        <v>149</v>
      </c>
      <c r="B30" s="1" t="s">
        <v>388</v>
      </c>
      <c r="C30" s="1" t="s">
        <v>389</v>
      </c>
      <c r="D30" s="1" t="s">
        <v>28</v>
      </c>
      <c r="E30" s="12">
        <v>504409.092</v>
      </c>
      <c r="F30" s="12">
        <v>141756.54624785</v>
      </c>
      <c r="G30" s="2">
        <f t="shared" si="0"/>
        <v>28.103487525528188</v>
      </c>
      <c r="H30" s="30">
        <v>0.10353251006804713</v>
      </c>
    </row>
    <row r="31" spans="1:8" ht="14.1" customHeight="1">
      <c r="A31" s="29" t="s">
        <v>239</v>
      </c>
      <c r="B31" s="1" t="s">
        <v>390</v>
      </c>
      <c r="C31" s="1" t="s">
        <v>391</v>
      </c>
      <c r="D31" s="1" t="s">
        <v>10</v>
      </c>
      <c r="E31" s="12">
        <v>24624.896000000001</v>
      </c>
      <c r="F31" s="12">
        <v>11.6160334915</v>
      </c>
      <c r="G31" s="2">
        <f t="shared" si="0"/>
        <v>4.7171908833645429E-2</v>
      </c>
      <c r="H31" s="30">
        <v>8.4838205800159764E-6</v>
      </c>
    </row>
    <row r="32" spans="1:8" ht="14.1" customHeight="1">
      <c r="A32" s="29" t="s">
        <v>303</v>
      </c>
      <c r="B32" s="1" t="s">
        <v>392</v>
      </c>
      <c r="C32" s="1" t="s">
        <v>393</v>
      </c>
      <c r="D32" s="1" t="s">
        <v>28</v>
      </c>
      <c r="E32" s="12">
        <v>271062.09399999998</v>
      </c>
      <c r="F32" s="12">
        <v>204792.38557043337</v>
      </c>
      <c r="G32" s="2">
        <f t="shared" si="0"/>
        <v>75.551834839154381</v>
      </c>
      <c r="H32" s="30">
        <v>0.14957100946759178</v>
      </c>
    </row>
    <row r="33" spans="1:8" ht="14.1" customHeight="1">
      <c r="A33" s="29" t="s">
        <v>141</v>
      </c>
      <c r="B33" s="1" t="s">
        <v>394</v>
      </c>
      <c r="C33" s="1" t="s">
        <v>395</v>
      </c>
      <c r="D33" s="1" t="s">
        <v>28</v>
      </c>
      <c r="E33" s="12">
        <v>1772127.2930000001</v>
      </c>
      <c r="F33" s="12">
        <v>33465.852980040807</v>
      </c>
      <c r="G33" s="2">
        <f t="shared" si="0"/>
        <v>1.8884564958867662</v>
      </c>
      <c r="H33" s="30">
        <v>2.4441931270912369E-2</v>
      </c>
    </row>
    <row r="34" spans="1:8" ht="14.1" customHeight="1">
      <c r="A34" s="29" t="s">
        <v>139</v>
      </c>
      <c r="B34" s="1" t="s">
        <v>138</v>
      </c>
      <c r="C34" s="1" t="s">
        <v>396</v>
      </c>
      <c r="D34" s="1" t="s">
        <v>58</v>
      </c>
      <c r="E34" s="12">
        <v>657499.64399999997</v>
      </c>
      <c r="F34" s="12">
        <v>105830.64952546821</v>
      </c>
      <c r="G34" s="2">
        <f t="shared" si="0"/>
        <v>16.095924992693718</v>
      </c>
      <c r="H34" s="30">
        <v>7.7293875150895808E-2</v>
      </c>
    </row>
    <row r="35" spans="1:8" ht="14.1" customHeight="1">
      <c r="A35" s="29" t="s">
        <v>241</v>
      </c>
      <c r="B35" s="1" t="s">
        <v>397</v>
      </c>
      <c r="C35" s="1" t="s">
        <v>398</v>
      </c>
      <c r="D35" s="1" t="s">
        <v>7</v>
      </c>
      <c r="E35" s="12">
        <v>2449184.9789999998</v>
      </c>
      <c r="F35" s="12">
        <v>1587756.7427374802</v>
      </c>
      <c r="G35" s="2">
        <f t="shared" si="0"/>
        <v>64.827963438913457</v>
      </c>
      <c r="H35" s="30">
        <v>1.1596250423995575</v>
      </c>
    </row>
    <row r="36" spans="1:8" ht="14.1" customHeight="1">
      <c r="A36" s="29" t="s">
        <v>141</v>
      </c>
      <c r="B36" s="1" t="s">
        <v>399</v>
      </c>
      <c r="C36" s="1" t="s">
        <v>400</v>
      </c>
      <c r="D36" s="1" t="s">
        <v>317</v>
      </c>
      <c r="E36" s="12">
        <v>95821.228000000003</v>
      </c>
      <c r="F36" s="12">
        <v>0</v>
      </c>
      <c r="G36" s="2">
        <f t="shared" si="0"/>
        <v>0</v>
      </c>
      <c r="H36" s="30">
        <v>0</v>
      </c>
    </row>
    <row r="37" spans="1:8" ht="14.1" customHeight="1">
      <c r="A37" s="29" t="s">
        <v>145</v>
      </c>
      <c r="B37" s="1" t="s">
        <v>401</v>
      </c>
      <c r="C37" s="1" t="s">
        <v>402</v>
      </c>
      <c r="D37" s="1" t="s">
        <v>31</v>
      </c>
      <c r="E37" s="12">
        <v>279257.57900000003</v>
      </c>
      <c r="F37" s="12">
        <v>87767.87118040763</v>
      </c>
      <c r="G37" s="2">
        <f t="shared" si="0"/>
        <v>31.429002390802658</v>
      </c>
      <c r="H37" s="30">
        <v>6.4101646429428547E-2</v>
      </c>
    </row>
    <row r="38" spans="1:8" ht="14.1" customHeight="1">
      <c r="A38" s="29" t="s">
        <v>239</v>
      </c>
      <c r="B38" s="1" t="s">
        <v>403</v>
      </c>
      <c r="C38" s="1" t="s">
        <v>404</v>
      </c>
      <c r="D38" s="1" t="s">
        <v>10</v>
      </c>
      <c r="E38" s="12">
        <v>64555.421000000002</v>
      </c>
      <c r="F38" s="12">
        <v>29976.744419989369</v>
      </c>
      <c r="G38" s="2">
        <f t="shared" si="0"/>
        <v>46.435673341808688</v>
      </c>
      <c r="H38" s="30">
        <v>2.1893645659534375E-2</v>
      </c>
    </row>
    <row r="39" spans="1:8" ht="14.1" customHeight="1">
      <c r="A39" s="29" t="s">
        <v>273</v>
      </c>
      <c r="B39" s="1" t="s">
        <v>405</v>
      </c>
      <c r="C39" s="1" t="s">
        <v>406</v>
      </c>
      <c r="D39" s="1" t="s">
        <v>19</v>
      </c>
      <c r="E39" s="12">
        <v>3584735.8289999999</v>
      </c>
      <c r="F39" s="12">
        <v>8734.5560666000001</v>
      </c>
      <c r="G39" s="2">
        <f t="shared" si="0"/>
        <v>0.24365968604823518</v>
      </c>
      <c r="H39" s="30">
        <v>6.3793210108552727E-3</v>
      </c>
    </row>
    <row r="40" spans="1:8" ht="14.1" customHeight="1">
      <c r="A40" s="29" t="s">
        <v>171</v>
      </c>
      <c r="B40" s="1" t="s">
        <v>407</v>
      </c>
      <c r="C40" s="1" t="s">
        <v>408</v>
      </c>
      <c r="D40" s="1" t="s">
        <v>10</v>
      </c>
      <c r="E40" s="12">
        <v>1999951.044</v>
      </c>
      <c r="F40" s="12">
        <v>30151.7265055116</v>
      </c>
      <c r="G40" s="2">
        <f t="shared" si="0"/>
        <v>1.5076232288769764</v>
      </c>
      <c r="H40" s="30">
        <v>2.2021444586713255E-2</v>
      </c>
    </row>
    <row r="41" spans="1:8" ht="14.1" customHeight="1">
      <c r="A41" s="29" t="s">
        <v>141</v>
      </c>
      <c r="B41" s="1" t="s">
        <v>409</v>
      </c>
      <c r="C41" s="1" t="s">
        <v>410</v>
      </c>
      <c r="D41" s="1" t="s">
        <v>28</v>
      </c>
      <c r="E41" s="12">
        <v>1054392.0020000001</v>
      </c>
      <c r="F41" s="12">
        <v>47207.192530890941</v>
      </c>
      <c r="G41" s="2">
        <f t="shared" si="0"/>
        <v>4.4771956199731244</v>
      </c>
      <c r="H41" s="30">
        <v>3.4477978374581296E-2</v>
      </c>
    </row>
    <row r="42" spans="1:8" ht="14.1" customHeight="1">
      <c r="A42" s="29" t="s">
        <v>265</v>
      </c>
      <c r="B42" s="1" t="s">
        <v>411</v>
      </c>
      <c r="C42" s="1" t="s">
        <v>412</v>
      </c>
      <c r="D42" s="1" t="s">
        <v>311</v>
      </c>
      <c r="E42" s="12">
        <v>541990.36899999995</v>
      </c>
      <c r="F42" s="12">
        <v>246051.87326430331</v>
      </c>
      <c r="G42" s="2">
        <f t="shared" si="0"/>
        <v>45.397831278493314</v>
      </c>
      <c r="H42" s="30">
        <v>0.17970505574718534</v>
      </c>
    </row>
    <row r="43" spans="1:8" ht="14.1" customHeight="1">
      <c r="A43" s="29" t="s">
        <v>143</v>
      </c>
      <c r="B43" s="1" t="s">
        <v>413</v>
      </c>
      <c r="C43" s="1" t="s">
        <v>414</v>
      </c>
      <c r="D43" s="1" t="s">
        <v>28</v>
      </c>
      <c r="E43" s="12">
        <v>220541.45600000001</v>
      </c>
      <c r="F43" s="12">
        <v>25436.290759</v>
      </c>
      <c r="G43" s="2">
        <f t="shared" si="0"/>
        <v>11.533564355809821</v>
      </c>
      <c r="H43" s="30">
        <v>1.8577505581262591E-2</v>
      </c>
    </row>
    <row r="44" spans="1:8" ht="14.1" customHeight="1">
      <c r="A44" s="29" t="s">
        <v>163</v>
      </c>
      <c r="B44" s="1" t="s">
        <v>415</v>
      </c>
      <c r="C44" s="1" t="s">
        <v>416</v>
      </c>
      <c r="D44" s="1" t="s">
        <v>10</v>
      </c>
      <c r="E44" s="12">
        <v>400236.17200000002</v>
      </c>
      <c r="F44" s="12">
        <v>44937.091509198297</v>
      </c>
      <c r="G44" s="2">
        <f t="shared" si="0"/>
        <v>11.227643739606398</v>
      </c>
      <c r="H44" s="30">
        <v>3.2820000220451132E-2</v>
      </c>
    </row>
    <row r="45" spans="1:8" ht="14.1" customHeight="1">
      <c r="A45" s="29" t="s">
        <v>233</v>
      </c>
      <c r="B45" s="1" t="s">
        <v>417</v>
      </c>
      <c r="C45" s="1" t="s">
        <v>418</v>
      </c>
      <c r="D45" s="1" t="s">
        <v>31</v>
      </c>
      <c r="E45" s="12">
        <v>1032814.67</v>
      </c>
      <c r="F45" s="12">
        <v>3488.2632026020001</v>
      </c>
      <c r="G45" s="2">
        <f t="shared" si="0"/>
        <v>0.33774338261500486</v>
      </c>
      <c r="H45" s="30">
        <v>2.5476682008882352E-3</v>
      </c>
    </row>
    <row r="46" spans="1:8" ht="14.1" customHeight="1">
      <c r="A46" s="29" t="s">
        <v>271</v>
      </c>
      <c r="B46" s="1" t="s">
        <v>419</v>
      </c>
      <c r="C46" s="1" t="s">
        <v>420</v>
      </c>
      <c r="D46" s="1" t="s">
        <v>31</v>
      </c>
      <c r="E46" s="12">
        <v>2444384.6150000002</v>
      </c>
      <c r="F46" s="12">
        <v>182491.50406227302</v>
      </c>
      <c r="G46" s="2">
        <f t="shared" si="0"/>
        <v>7.4657442590012781</v>
      </c>
      <c r="H46" s="30">
        <v>0.13328346366894436</v>
      </c>
    </row>
    <row r="47" spans="1:8" ht="14.1" customHeight="1">
      <c r="A47" s="29" t="s">
        <v>237</v>
      </c>
      <c r="B47" s="1" t="s">
        <v>421</v>
      </c>
      <c r="C47" s="1" t="s">
        <v>422</v>
      </c>
      <c r="D47" s="1" t="s">
        <v>323</v>
      </c>
      <c r="E47" s="12">
        <v>463723.22700000001</v>
      </c>
      <c r="F47" s="12">
        <v>51078.344366687204</v>
      </c>
      <c r="G47" s="2">
        <f t="shared" si="0"/>
        <v>11.014834149484431</v>
      </c>
      <c r="H47" s="30">
        <v>3.7305290953950763E-2</v>
      </c>
    </row>
    <row r="48" spans="1:8" ht="14.1" customHeight="1">
      <c r="A48" s="29" t="s">
        <v>267</v>
      </c>
      <c r="B48" s="1" t="s">
        <v>423</v>
      </c>
      <c r="C48" s="1" t="s">
        <v>424</v>
      </c>
      <c r="D48" s="1" t="s">
        <v>28</v>
      </c>
      <c r="E48" s="12">
        <v>806778.31099999999</v>
      </c>
      <c r="F48" s="12">
        <v>53871.444692608799</v>
      </c>
      <c r="G48" s="2">
        <f t="shared" si="0"/>
        <v>6.6773541080740335</v>
      </c>
      <c r="H48" s="30">
        <v>3.9345243924510172E-2</v>
      </c>
    </row>
    <row r="49" spans="1:8" ht="14.1" customHeight="1">
      <c r="A49" s="29" t="s">
        <v>179</v>
      </c>
      <c r="B49" s="1" t="s">
        <v>425</v>
      </c>
      <c r="C49" s="1" t="s">
        <v>426</v>
      </c>
      <c r="D49" s="1" t="s">
        <v>28</v>
      </c>
      <c r="E49" s="12">
        <v>3309589.9470000002</v>
      </c>
      <c r="F49" s="12">
        <v>99798.690775107316</v>
      </c>
      <c r="G49" s="2">
        <f t="shared" si="0"/>
        <v>3.0154397485274727</v>
      </c>
      <c r="H49" s="30">
        <v>7.2888407843870073E-2</v>
      </c>
    </row>
    <row r="50" spans="1:8" ht="14.1" customHeight="1">
      <c r="A50" s="29" t="s">
        <v>187</v>
      </c>
      <c r="B50" s="1" t="s">
        <v>427</v>
      </c>
      <c r="C50" s="1" t="s">
        <v>428</v>
      </c>
      <c r="D50" s="1" t="s">
        <v>31</v>
      </c>
      <c r="E50" s="12">
        <v>1032917.6459999999</v>
      </c>
      <c r="F50" s="12">
        <v>4901.5879631203516</v>
      </c>
      <c r="G50" s="2">
        <f t="shared" si="0"/>
        <v>0.47453811851330807</v>
      </c>
      <c r="H50" s="30">
        <v>3.5798960864487999E-3</v>
      </c>
    </row>
    <row r="51" spans="1:8" ht="14.1" customHeight="1">
      <c r="A51" s="29" t="s">
        <v>143</v>
      </c>
      <c r="B51" s="1" t="s">
        <v>429</v>
      </c>
      <c r="C51" s="1" t="s">
        <v>430</v>
      </c>
      <c r="D51" s="1" t="s">
        <v>28</v>
      </c>
      <c r="E51" s="12">
        <v>281306.04300000001</v>
      </c>
      <c r="F51" s="12">
        <v>118872.57819229999</v>
      </c>
      <c r="G51" s="2">
        <f t="shared" si="0"/>
        <v>42.257385203879174</v>
      </c>
      <c r="H51" s="30">
        <v>8.6819104473601555E-2</v>
      </c>
    </row>
    <row r="52" spans="1:8" ht="14.1" customHeight="1">
      <c r="A52" s="29" t="s">
        <v>161</v>
      </c>
      <c r="B52" s="1" t="s">
        <v>431</v>
      </c>
      <c r="C52" s="1" t="s">
        <v>432</v>
      </c>
      <c r="D52" s="1" t="s">
        <v>28</v>
      </c>
      <c r="E52" s="12">
        <v>1077479.5970000001</v>
      </c>
      <c r="F52" s="12">
        <v>224273.72861300001</v>
      </c>
      <c r="G52" s="2">
        <f t="shared" si="0"/>
        <v>20.814661292653692</v>
      </c>
      <c r="H52" s="30">
        <v>0.16379929308538768</v>
      </c>
    </row>
    <row r="53" spans="1:8" ht="14.1" customHeight="1">
      <c r="A53" s="29" t="s">
        <v>161</v>
      </c>
      <c r="B53" s="1" t="s">
        <v>433</v>
      </c>
      <c r="C53" s="1" t="s">
        <v>434</v>
      </c>
      <c r="D53" s="1" t="s">
        <v>317</v>
      </c>
      <c r="E53" s="12">
        <v>1326712.148</v>
      </c>
      <c r="F53" s="12">
        <v>0</v>
      </c>
      <c r="G53" s="2">
        <f t="shared" si="0"/>
        <v>0</v>
      </c>
      <c r="H53" s="30">
        <v>0</v>
      </c>
    </row>
    <row r="54" spans="1:8" ht="14.1" customHeight="1">
      <c r="A54" s="29" t="s">
        <v>239</v>
      </c>
      <c r="B54" s="1" t="s">
        <v>435</v>
      </c>
      <c r="C54" s="1" t="s">
        <v>436</v>
      </c>
      <c r="D54" s="1" t="s">
        <v>10</v>
      </c>
      <c r="E54" s="12">
        <v>151867.11799999999</v>
      </c>
      <c r="F54" s="12">
        <v>2688.6826917799999</v>
      </c>
      <c r="G54" s="2">
        <f t="shared" si="0"/>
        <v>1.7704179332487235</v>
      </c>
      <c r="H54" s="30">
        <v>1.9636910973394915E-3</v>
      </c>
    </row>
    <row r="55" spans="1:8" ht="14.1" customHeight="1">
      <c r="A55" s="29" t="s">
        <v>265</v>
      </c>
      <c r="B55" s="1" t="s">
        <v>437</v>
      </c>
      <c r="C55" s="1" t="s">
        <v>438</v>
      </c>
      <c r="D55" s="1" t="s">
        <v>10</v>
      </c>
      <c r="E55" s="12">
        <v>431184.92599999998</v>
      </c>
      <c r="F55" s="12">
        <v>91601.981313564276</v>
      </c>
      <c r="G55" s="2">
        <f t="shared" si="0"/>
        <v>21.244244821667138</v>
      </c>
      <c r="H55" s="30">
        <v>6.6901905440176448E-2</v>
      </c>
    </row>
    <row r="56" spans="1:8" ht="14.1" customHeight="1">
      <c r="A56" s="29" t="s">
        <v>267</v>
      </c>
      <c r="B56" s="1" t="s">
        <v>439</v>
      </c>
      <c r="C56" s="1" t="s">
        <v>440</v>
      </c>
      <c r="D56" s="1" t="s">
        <v>28</v>
      </c>
      <c r="E56" s="12">
        <v>700180.96900000004</v>
      </c>
      <c r="F56" s="12">
        <v>52266.852965370992</v>
      </c>
      <c r="G56" s="2">
        <f t="shared" si="0"/>
        <v>7.4647634368038629</v>
      </c>
      <c r="H56" s="30">
        <v>3.8173323377963461E-2</v>
      </c>
    </row>
    <row r="57" spans="1:8" ht="14.1" customHeight="1">
      <c r="A57" s="29" t="s">
        <v>267</v>
      </c>
      <c r="B57" s="1" t="s">
        <v>441</v>
      </c>
      <c r="C57" s="1" t="s">
        <v>442</v>
      </c>
      <c r="D57" s="1" t="s">
        <v>28</v>
      </c>
      <c r="E57" s="12">
        <v>962583.09600000002</v>
      </c>
      <c r="F57" s="12">
        <v>158919.23401763401</v>
      </c>
      <c r="G57" s="2">
        <f t="shared" si="0"/>
        <v>16.50966391140885</v>
      </c>
      <c r="H57" s="30">
        <v>0.11606735372326113</v>
      </c>
    </row>
    <row r="58" spans="1:8" ht="14.1" customHeight="1">
      <c r="A58" s="29" t="s">
        <v>279</v>
      </c>
      <c r="B58" s="1" t="s">
        <v>443</v>
      </c>
      <c r="C58" s="1" t="s">
        <v>444</v>
      </c>
      <c r="D58" s="1" t="s">
        <v>10</v>
      </c>
      <c r="E58" s="12">
        <v>257572.40299999999</v>
      </c>
      <c r="F58" s="12">
        <v>134521.13464247243</v>
      </c>
      <c r="G58" s="2">
        <f t="shared" si="0"/>
        <v>52.226532452885657</v>
      </c>
      <c r="H58" s="30">
        <v>9.8248095734401658E-2</v>
      </c>
    </row>
    <row r="59" spans="1:8" ht="14.1" customHeight="1">
      <c r="A59" s="29" t="s">
        <v>267</v>
      </c>
      <c r="B59" s="1" t="s">
        <v>445</v>
      </c>
      <c r="C59" s="1" t="s">
        <v>446</v>
      </c>
      <c r="D59" s="1" t="s">
        <v>73</v>
      </c>
      <c r="E59" s="12">
        <v>630616.28300000005</v>
      </c>
      <c r="F59" s="12">
        <v>116414.95433675453</v>
      </c>
      <c r="G59" s="2">
        <f t="shared" si="0"/>
        <v>18.460505615703315</v>
      </c>
      <c r="H59" s="30">
        <v>8.5024168202208067E-2</v>
      </c>
    </row>
    <row r="60" spans="1:8" ht="14.1" customHeight="1">
      <c r="A60" s="29" t="s">
        <v>157</v>
      </c>
      <c r="B60" s="1" t="s">
        <v>447</v>
      </c>
      <c r="C60" s="1" t="s">
        <v>448</v>
      </c>
      <c r="D60" s="1" t="s">
        <v>28</v>
      </c>
      <c r="E60" s="12">
        <v>127696.86199999999</v>
      </c>
      <c r="F60" s="12">
        <v>7831.2673784582003</v>
      </c>
      <c r="G60" s="2">
        <f t="shared" si="0"/>
        <v>6.1327015055845306</v>
      </c>
      <c r="H60" s="30">
        <v>5.7196001889619251E-3</v>
      </c>
    </row>
    <row r="61" spans="1:8" ht="14.1" customHeight="1">
      <c r="A61" s="29" t="s">
        <v>143</v>
      </c>
      <c r="B61" s="1" t="s">
        <v>449</v>
      </c>
      <c r="C61" s="1" t="s">
        <v>450</v>
      </c>
      <c r="D61" s="1" t="s">
        <v>28</v>
      </c>
      <c r="E61" s="12">
        <v>301303.04599999997</v>
      </c>
      <c r="F61" s="12">
        <v>591.07312642739998</v>
      </c>
      <c r="G61" s="2">
        <f t="shared" si="0"/>
        <v>0.19617230369035171</v>
      </c>
      <c r="H61" s="30">
        <v>4.3169282853295406E-4</v>
      </c>
    </row>
    <row r="62" spans="1:8" ht="14.1" customHeight="1">
      <c r="A62" s="29" t="s">
        <v>249</v>
      </c>
      <c r="B62" s="1" t="s">
        <v>451</v>
      </c>
      <c r="C62" s="1" t="s">
        <v>452</v>
      </c>
      <c r="D62" s="1" t="s">
        <v>19</v>
      </c>
      <c r="E62" s="12">
        <v>828711.50600000005</v>
      </c>
      <c r="F62" s="12">
        <v>2488.3958991499999</v>
      </c>
      <c r="G62" s="2">
        <f t="shared" si="0"/>
        <v>0.30027287917853523</v>
      </c>
      <c r="H62" s="30">
        <v>1.8174107672712999E-3</v>
      </c>
    </row>
    <row r="63" spans="1:8" ht="14.1" customHeight="1">
      <c r="A63" s="29" t="s">
        <v>163</v>
      </c>
      <c r="B63" s="1" t="s">
        <v>453</v>
      </c>
      <c r="C63" s="1" t="s">
        <v>454</v>
      </c>
      <c r="D63" s="1" t="s">
        <v>10</v>
      </c>
      <c r="E63" s="12">
        <v>2001424.831</v>
      </c>
      <c r="F63" s="12">
        <v>42730.416444145005</v>
      </c>
      <c r="G63" s="2">
        <f t="shared" si="0"/>
        <v>2.1349998152463718</v>
      </c>
      <c r="H63" s="30">
        <v>3.1208345489599477E-2</v>
      </c>
    </row>
    <row r="64" spans="1:8" ht="14.1" customHeight="1">
      <c r="A64" s="29" t="s">
        <v>177</v>
      </c>
      <c r="B64" s="1" t="s">
        <v>455</v>
      </c>
      <c r="C64" s="1" t="s">
        <v>456</v>
      </c>
      <c r="D64" s="1" t="s">
        <v>28</v>
      </c>
      <c r="E64" s="12">
        <v>1007025.721</v>
      </c>
      <c r="F64" s="12">
        <v>13692.509545620946</v>
      </c>
      <c r="G64" s="2">
        <f t="shared" si="0"/>
        <v>1.3596980951016786</v>
      </c>
      <c r="H64" s="30">
        <v>1.0000383896982344E-2</v>
      </c>
    </row>
    <row r="65" spans="1:8" ht="14.1" customHeight="1">
      <c r="A65" s="29" t="s">
        <v>151</v>
      </c>
      <c r="B65" s="1" t="s">
        <v>457</v>
      </c>
      <c r="C65" s="1" t="s">
        <v>458</v>
      </c>
      <c r="D65" s="1" t="s">
        <v>7</v>
      </c>
      <c r="E65" s="12">
        <v>2380497.8730000001</v>
      </c>
      <c r="F65" s="12">
        <v>369809.00766327477</v>
      </c>
      <c r="G65" s="2">
        <f t="shared" si="0"/>
        <v>15.534943839173712</v>
      </c>
      <c r="H65" s="30">
        <v>0.27009161708984014</v>
      </c>
    </row>
    <row r="66" spans="1:8" ht="14.1" customHeight="1">
      <c r="A66" s="29" t="s">
        <v>141</v>
      </c>
      <c r="B66" s="1" t="s">
        <v>459</v>
      </c>
      <c r="C66" s="1" t="s">
        <v>460</v>
      </c>
      <c r="D66" s="1" t="s">
        <v>28</v>
      </c>
      <c r="E66" s="12">
        <v>747993.31599999999</v>
      </c>
      <c r="F66" s="12">
        <v>1647.36153072</v>
      </c>
      <c r="G66" s="2">
        <f t="shared" si="0"/>
        <v>0.22023746676367359</v>
      </c>
      <c r="H66" s="30">
        <v>1.2031576585308402E-3</v>
      </c>
    </row>
    <row r="67" spans="1:8" ht="14.1" customHeight="1">
      <c r="A67" s="29" t="s">
        <v>149</v>
      </c>
      <c r="B67" s="1" t="s">
        <v>461</v>
      </c>
      <c r="C67" s="1" t="s">
        <v>462</v>
      </c>
      <c r="D67" s="1" t="s">
        <v>28</v>
      </c>
      <c r="E67" s="12">
        <v>94367.323999999993</v>
      </c>
      <c r="F67" s="12">
        <v>580.85811540559996</v>
      </c>
      <c r="G67" s="2">
        <f t="shared" si="0"/>
        <v>0.61552886188189471</v>
      </c>
      <c r="H67" s="30">
        <v>4.2423225080689535E-4</v>
      </c>
    </row>
    <row r="68" spans="1:8" ht="14.1" customHeight="1">
      <c r="A68" s="29" t="s">
        <v>265</v>
      </c>
      <c r="B68" s="1" t="s">
        <v>463</v>
      </c>
      <c r="C68" s="1" t="s">
        <v>464</v>
      </c>
      <c r="D68" s="1" t="s">
        <v>10</v>
      </c>
      <c r="E68" s="12">
        <v>80493.567999999999</v>
      </c>
      <c r="F68" s="12">
        <v>7390.0411692529115</v>
      </c>
      <c r="G68" s="2">
        <f t="shared" ref="G68:G131" si="1">F68/E68*100</f>
        <v>9.180908925857171</v>
      </c>
      <c r="H68" s="30">
        <v>5.397348708124047E-3</v>
      </c>
    </row>
    <row r="69" spans="1:8" ht="14.1" customHeight="1">
      <c r="A69" s="29" t="s">
        <v>245</v>
      </c>
      <c r="B69" s="1" t="s">
        <v>465</v>
      </c>
      <c r="C69" s="1" t="s">
        <v>466</v>
      </c>
      <c r="D69" s="1" t="s">
        <v>10</v>
      </c>
      <c r="E69" s="12">
        <v>101460.02099999999</v>
      </c>
      <c r="F69" s="12">
        <v>10635.324409506</v>
      </c>
      <c r="G69" s="2">
        <f t="shared" si="1"/>
        <v>10.482280906985029</v>
      </c>
      <c r="H69" s="30">
        <v>7.7675554367622555E-3</v>
      </c>
    </row>
    <row r="70" spans="1:8" ht="14.1" customHeight="1">
      <c r="A70" s="29" t="s">
        <v>247</v>
      </c>
      <c r="B70" s="1" t="s">
        <v>467</v>
      </c>
      <c r="C70" s="1" t="s">
        <v>468</v>
      </c>
      <c r="D70" s="1" t="s">
        <v>313</v>
      </c>
      <c r="E70" s="12">
        <v>5788547.0609999998</v>
      </c>
      <c r="F70" s="12">
        <v>2163205.5828209999</v>
      </c>
      <c r="G70" s="2">
        <f t="shared" si="1"/>
        <v>37.370441321890119</v>
      </c>
      <c r="H70" s="30">
        <v>1.5799066054493955</v>
      </c>
    </row>
    <row r="71" spans="1:8" ht="14.1" customHeight="1">
      <c r="A71" s="29" t="s">
        <v>143</v>
      </c>
      <c r="B71" s="1" t="s">
        <v>469</v>
      </c>
      <c r="C71" s="1" t="s">
        <v>470</v>
      </c>
      <c r="D71" s="1" t="s">
        <v>28</v>
      </c>
      <c r="E71" s="12">
        <v>2263686.3960000002</v>
      </c>
      <c r="F71" s="12">
        <v>342052.49453414598</v>
      </c>
      <c r="G71" s="2">
        <f t="shared" si="1"/>
        <v>15.110418790277782</v>
      </c>
      <c r="H71" s="30">
        <v>0.24981952700963336</v>
      </c>
    </row>
    <row r="72" spans="1:8" ht="14.1" customHeight="1">
      <c r="A72" s="29" t="s">
        <v>191</v>
      </c>
      <c r="B72" s="1" t="s">
        <v>471</v>
      </c>
      <c r="C72" s="1" t="s">
        <v>472</v>
      </c>
      <c r="D72" s="1" t="s">
        <v>7</v>
      </c>
      <c r="E72" s="12">
        <v>4718656.2939999998</v>
      </c>
      <c r="F72" s="12">
        <v>1301765.632947</v>
      </c>
      <c r="G72" s="2">
        <f t="shared" si="1"/>
        <v>27.587634102578274</v>
      </c>
      <c r="H72" s="30">
        <v>0.95075019155503127</v>
      </c>
    </row>
    <row r="73" spans="1:8" ht="14.1" customHeight="1">
      <c r="A73" s="29" t="s">
        <v>243</v>
      </c>
      <c r="B73" s="1" t="s">
        <v>473</v>
      </c>
      <c r="C73" s="1" t="s">
        <v>474</v>
      </c>
      <c r="D73" s="1" t="s">
        <v>10</v>
      </c>
      <c r="E73" s="12">
        <v>20100.137999999999</v>
      </c>
      <c r="F73" s="12">
        <v>14589.319412032126</v>
      </c>
      <c r="G73" s="2">
        <f t="shared" si="1"/>
        <v>72.583180334543613</v>
      </c>
      <c r="H73" s="30">
        <v>1.0655372883247574E-2</v>
      </c>
    </row>
    <row r="74" spans="1:8" ht="14.1" customHeight="1">
      <c r="A74" s="29" t="s">
        <v>171</v>
      </c>
      <c r="B74" s="1" t="s">
        <v>475</v>
      </c>
      <c r="C74" s="1" t="s">
        <v>476</v>
      </c>
      <c r="D74" s="1" t="s">
        <v>10</v>
      </c>
      <c r="E74" s="12">
        <v>4500355.2769999998</v>
      </c>
      <c r="F74" s="12">
        <v>26470.490501742301</v>
      </c>
      <c r="G74" s="2">
        <f t="shared" si="1"/>
        <v>0.58818668466076973</v>
      </c>
      <c r="H74" s="30">
        <v>1.9332837861231023E-2</v>
      </c>
    </row>
    <row r="75" spans="1:8" ht="14.1" customHeight="1">
      <c r="A75" s="29" t="s">
        <v>243</v>
      </c>
      <c r="B75" s="1" t="s">
        <v>477</v>
      </c>
      <c r="C75" s="1" t="s">
        <v>478</v>
      </c>
      <c r="D75" s="1" t="s">
        <v>10</v>
      </c>
      <c r="E75" s="12">
        <v>121337.591</v>
      </c>
      <c r="F75" s="12">
        <v>4610.5244366973429</v>
      </c>
      <c r="G75" s="2">
        <f t="shared" si="1"/>
        <v>3.7997494417845687</v>
      </c>
      <c r="H75" s="30">
        <v>3.3673165740561685E-3</v>
      </c>
    </row>
    <row r="76" spans="1:8" ht="14.1" customHeight="1">
      <c r="A76" s="29" t="s">
        <v>201</v>
      </c>
      <c r="B76" s="1" t="s">
        <v>479</v>
      </c>
      <c r="C76" s="1" t="s">
        <v>480</v>
      </c>
      <c r="D76" s="1" t="s">
        <v>7</v>
      </c>
      <c r="E76" s="12">
        <v>12590867.403999999</v>
      </c>
      <c r="F76" s="12">
        <v>1745869.5848063002</v>
      </c>
      <c r="G76" s="2">
        <f t="shared" si="1"/>
        <v>13.866158134995956</v>
      </c>
      <c r="H76" s="30">
        <v>1.2751034442559088</v>
      </c>
    </row>
    <row r="77" spans="1:8" ht="14.1" customHeight="1">
      <c r="A77" s="29" t="s">
        <v>161</v>
      </c>
      <c r="B77" s="1" t="s">
        <v>481</v>
      </c>
      <c r="C77" s="1" t="s">
        <v>482</v>
      </c>
      <c r="D77" s="1" t="s">
        <v>317</v>
      </c>
      <c r="E77" s="12">
        <v>580685.32900000003</v>
      </c>
      <c r="F77" s="12">
        <v>0</v>
      </c>
      <c r="G77" s="2">
        <f t="shared" si="1"/>
        <v>0</v>
      </c>
      <c r="H77" s="30">
        <v>0</v>
      </c>
    </row>
    <row r="78" spans="1:8" ht="14.1" customHeight="1">
      <c r="A78" s="29" t="s">
        <v>225</v>
      </c>
      <c r="B78" s="1" t="s">
        <v>483</v>
      </c>
      <c r="C78" s="1" t="s">
        <v>484</v>
      </c>
      <c r="D78" s="1" t="s">
        <v>28</v>
      </c>
      <c r="E78" s="12">
        <v>9378817.1750000007</v>
      </c>
      <c r="F78" s="12">
        <v>59481.547631571193</v>
      </c>
      <c r="G78" s="2">
        <f t="shared" si="1"/>
        <v>0.63421161242085078</v>
      </c>
      <c r="H78" s="30">
        <v>4.3442607004980358E-2</v>
      </c>
    </row>
    <row r="79" spans="1:8" ht="14.1" customHeight="1">
      <c r="A79" s="29" t="s">
        <v>187</v>
      </c>
      <c r="B79" s="1" t="s">
        <v>485</v>
      </c>
      <c r="C79" s="1" t="s">
        <v>486</v>
      </c>
      <c r="D79" s="1" t="s">
        <v>31</v>
      </c>
      <c r="E79" s="12">
        <v>961667.29599999997</v>
      </c>
      <c r="F79" s="12">
        <v>111417.43651541001</v>
      </c>
      <c r="G79" s="2">
        <f t="shared" si="1"/>
        <v>11.585861033108275</v>
      </c>
      <c r="H79" s="30">
        <v>8.137420932659499E-2</v>
      </c>
    </row>
    <row r="80" spans="1:8" ht="14.1" customHeight="1">
      <c r="A80" s="29" t="s">
        <v>283</v>
      </c>
      <c r="B80" s="1" t="s">
        <v>487</v>
      </c>
      <c r="C80" s="1" t="s">
        <v>488</v>
      </c>
      <c r="D80" s="1" t="s">
        <v>58</v>
      </c>
      <c r="E80" s="12">
        <v>767849.44</v>
      </c>
      <c r="F80" s="12">
        <v>453162.79433480185</v>
      </c>
      <c r="G80" s="2">
        <f t="shared" si="1"/>
        <v>59.01714199788983</v>
      </c>
      <c r="H80" s="30">
        <v>0.33096941770083393</v>
      </c>
    </row>
    <row r="81" spans="1:8" ht="14.1" customHeight="1">
      <c r="A81" s="29" t="s">
        <v>299</v>
      </c>
      <c r="B81" s="1" t="s">
        <v>489</v>
      </c>
      <c r="C81" s="1" t="s">
        <v>490</v>
      </c>
      <c r="D81" s="1" t="s">
        <v>36</v>
      </c>
      <c r="E81" s="12">
        <v>1217921.973</v>
      </c>
      <c r="F81" s="12">
        <v>74945.346192516139</v>
      </c>
      <c r="G81" s="2">
        <f t="shared" si="1"/>
        <v>6.1535424973005339</v>
      </c>
      <c r="H81" s="30">
        <v>5.4736659537849314E-2</v>
      </c>
    </row>
    <row r="82" spans="1:8" ht="14.1" customHeight="1">
      <c r="A82" s="29" t="s">
        <v>243</v>
      </c>
      <c r="B82" s="1" t="s">
        <v>491</v>
      </c>
      <c r="C82" s="1" t="s">
        <v>492</v>
      </c>
      <c r="D82" s="1" t="s">
        <v>10</v>
      </c>
      <c r="E82" s="12">
        <v>188278.64499999999</v>
      </c>
      <c r="F82" s="12">
        <v>47902.450732935744</v>
      </c>
      <c r="G82" s="2">
        <f t="shared" si="1"/>
        <v>25.44231754638756</v>
      </c>
      <c r="H82" s="30">
        <v>3.49857632262046E-2</v>
      </c>
    </row>
    <row r="83" spans="1:8" ht="14.1" customHeight="1">
      <c r="A83" s="29" t="s">
        <v>253</v>
      </c>
      <c r="B83" s="1" t="s">
        <v>493</v>
      </c>
      <c r="C83" s="1" t="s">
        <v>494</v>
      </c>
      <c r="D83" s="1" t="s">
        <v>7</v>
      </c>
      <c r="E83" s="12">
        <v>8374727.8669999996</v>
      </c>
      <c r="F83" s="12">
        <v>568679.88607699994</v>
      </c>
      <c r="G83" s="2">
        <f t="shared" si="1"/>
        <v>6.7904282396785849</v>
      </c>
      <c r="H83" s="30">
        <v>0.41533782805219749</v>
      </c>
    </row>
    <row r="84" spans="1:8" ht="14.1" customHeight="1">
      <c r="A84" s="29" t="s">
        <v>211</v>
      </c>
      <c r="B84" s="1" t="s">
        <v>495</v>
      </c>
      <c r="C84" s="1" t="s">
        <v>496</v>
      </c>
      <c r="D84" s="1" t="s">
        <v>12</v>
      </c>
      <c r="E84" s="12">
        <v>13663.539000000001</v>
      </c>
      <c r="F84" s="12">
        <v>8541.3978757099994</v>
      </c>
      <c r="G84" s="2">
        <f t="shared" si="1"/>
        <v>62.512339414481119</v>
      </c>
      <c r="H84" s="30">
        <v>6.238247086071019E-3</v>
      </c>
    </row>
    <row r="85" spans="1:8" ht="14.1" customHeight="1">
      <c r="A85" s="29" t="s">
        <v>207</v>
      </c>
      <c r="B85" s="1" t="s">
        <v>497</v>
      </c>
      <c r="C85" s="1" t="s">
        <v>498</v>
      </c>
      <c r="D85" s="1" t="s">
        <v>28</v>
      </c>
      <c r="E85" s="12">
        <v>3738012.8229999999</v>
      </c>
      <c r="F85" s="12">
        <v>283.36598089130001</v>
      </c>
      <c r="G85" s="2">
        <f t="shared" si="1"/>
        <v>7.5806583419871804E-3</v>
      </c>
      <c r="H85" s="30">
        <v>2.0695757653601505E-4</v>
      </c>
    </row>
    <row r="86" spans="1:8" ht="14.1" customHeight="1">
      <c r="A86" s="29" t="s">
        <v>267</v>
      </c>
      <c r="B86" s="1" t="s">
        <v>499</v>
      </c>
      <c r="C86" s="1" t="s">
        <v>500</v>
      </c>
      <c r="D86" s="1" t="s">
        <v>10</v>
      </c>
      <c r="E86" s="12">
        <v>520901.46100000001</v>
      </c>
      <c r="F86" s="12">
        <v>55448.163341025611</v>
      </c>
      <c r="G86" s="2">
        <f t="shared" si="1"/>
        <v>10.644654986104102</v>
      </c>
      <c r="H86" s="30">
        <v>4.049680724671665E-2</v>
      </c>
    </row>
    <row r="87" spans="1:8" ht="14.1" customHeight="1">
      <c r="A87" s="29" t="s">
        <v>267</v>
      </c>
      <c r="B87" s="1" t="s">
        <v>501</v>
      </c>
      <c r="C87" s="1" t="s">
        <v>502</v>
      </c>
      <c r="D87" s="1" t="s">
        <v>10</v>
      </c>
      <c r="E87" s="12">
        <v>327828.73200000002</v>
      </c>
      <c r="F87" s="12">
        <v>48025.133238179704</v>
      </c>
      <c r="G87" s="2">
        <f t="shared" si="1"/>
        <v>14.649458253762731</v>
      </c>
      <c r="H87" s="30">
        <v>3.5075364927470203E-2</v>
      </c>
    </row>
    <row r="88" spans="1:8" ht="14.1" customHeight="1">
      <c r="A88" s="29" t="s">
        <v>157</v>
      </c>
      <c r="B88" s="1" t="s">
        <v>503</v>
      </c>
      <c r="C88" s="1" t="s">
        <v>504</v>
      </c>
      <c r="D88" s="1" t="s">
        <v>28</v>
      </c>
      <c r="E88" s="12">
        <v>631985.304</v>
      </c>
      <c r="F88" s="12">
        <v>66688.917797943097</v>
      </c>
      <c r="G88" s="2">
        <f t="shared" si="1"/>
        <v>10.552289329490975</v>
      </c>
      <c r="H88" s="30">
        <v>4.8706541151692533E-2</v>
      </c>
    </row>
    <row r="89" spans="1:8" ht="14.1" customHeight="1">
      <c r="A89" s="29" t="s">
        <v>143</v>
      </c>
      <c r="B89" s="1" t="s">
        <v>505</v>
      </c>
      <c r="C89" s="1" t="s">
        <v>506</v>
      </c>
      <c r="D89" s="1" t="s">
        <v>28</v>
      </c>
      <c r="E89" s="12">
        <v>1026213.878</v>
      </c>
      <c r="F89" s="12">
        <v>131294.66828456</v>
      </c>
      <c r="G89" s="2">
        <f t="shared" si="1"/>
        <v>12.7940842644266</v>
      </c>
      <c r="H89" s="30">
        <v>9.5891631997617785E-2</v>
      </c>
    </row>
    <row r="90" spans="1:8" ht="14.1" customHeight="1">
      <c r="A90" s="29" t="s">
        <v>149</v>
      </c>
      <c r="B90" s="1" t="s">
        <v>507</v>
      </c>
      <c r="C90" s="1" t="s">
        <v>508</v>
      </c>
      <c r="D90" s="1" t="s">
        <v>28</v>
      </c>
      <c r="E90" s="12">
        <v>284779.538</v>
      </c>
      <c r="F90" s="12">
        <v>77009.680380659294</v>
      </c>
      <c r="G90" s="2">
        <f t="shared" si="1"/>
        <v>27.041858737989561</v>
      </c>
      <c r="H90" s="30">
        <v>5.6244354990192397E-2</v>
      </c>
    </row>
    <row r="91" spans="1:8" ht="14.1" customHeight="1">
      <c r="A91" s="29" t="s">
        <v>295</v>
      </c>
      <c r="B91" s="1" t="s">
        <v>509</v>
      </c>
      <c r="C91" s="1" t="s">
        <v>510</v>
      </c>
      <c r="D91" s="1" t="s">
        <v>19</v>
      </c>
      <c r="E91" s="12">
        <v>261652.46799999999</v>
      </c>
      <c r="F91" s="12">
        <v>204363.003715</v>
      </c>
      <c r="G91" s="2">
        <f t="shared" si="1"/>
        <v>78.104749126616298</v>
      </c>
      <c r="H91" s="30">
        <v>0.14925740856204373</v>
      </c>
    </row>
    <row r="92" spans="1:8" ht="14.1" customHeight="1">
      <c r="A92" s="29" t="s">
        <v>211</v>
      </c>
      <c r="B92" s="1" t="s">
        <v>511</v>
      </c>
      <c r="C92" s="1" t="s">
        <v>512</v>
      </c>
      <c r="D92" s="1" t="s">
        <v>12</v>
      </c>
      <c r="E92" s="12">
        <v>1462.8389999999999</v>
      </c>
      <c r="F92" s="12">
        <v>133.26079735900001</v>
      </c>
      <c r="G92" s="2">
        <f t="shared" si="1"/>
        <v>9.109737801562579</v>
      </c>
      <c r="H92" s="30">
        <v>9.7327602918062154E-5</v>
      </c>
    </row>
    <row r="93" spans="1:8" ht="14.1" customHeight="1">
      <c r="A93" s="29" t="s">
        <v>149</v>
      </c>
      <c r="B93" s="1" t="s">
        <v>513</v>
      </c>
      <c r="C93" s="1" t="s">
        <v>514</v>
      </c>
      <c r="D93" s="1" t="s">
        <v>28</v>
      </c>
      <c r="E93" s="12">
        <v>2312125.5550000002</v>
      </c>
      <c r="F93" s="12">
        <v>800600.28317809</v>
      </c>
      <c r="G93" s="2">
        <f t="shared" si="1"/>
        <v>34.626159528697826</v>
      </c>
      <c r="H93" s="30">
        <v>0.58472189872412428</v>
      </c>
    </row>
    <row r="94" spans="1:8" ht="14.1" customHeight="1">
      <c r="A94" s="29" t="s">
        <v>243</v>
      </c>
      <c r="B94" s="1" t="s">
        <v>515</v>
      </c>
      <c r="C94" s="1" t="s">
        <v>516</v>
      </c>
      <c r="D94" s="1" t="s">
        <v>10</v>
      </c>
      <c r="E94" s="12">
        <v>308114.66800000001</v>
      </c>
      <c r="F94" s="12">
        <v>120718.86137831924</v>
      </c>
      <c r="G94" s="2">
        <f t="shared" si="1"/>
        <v>39.179848905576684</v>
      </c>
      <c r="H94" s="30">
        <v>8.8167545428213936E-2</v>
      </c>
    </row>
    <row r="95" spans="1:8" ht="14.1" customHeight="1">
      <c r="A95" s="29" t="s">
        <v>243</v>
      </c>
      <c r="B95" s="1" t="s">
        <v>517</v>
      </c>
      <c r="C95" s="1" t="s">
        <v>518</v>
      </c>
      <c r="D95" s="1" t="s">
        <v>10</v>
      </c>
      <c r="E95" s="12">
        <v>123314.932</v>
      </c>
      <c r="F95" s="12">
        <v>56746.720668336769</v>
      </c>
      <c r="G95" s="2">
        <f t="shared" si="1"/>
        <v>46.017720439838357</v>
      </c>
      <c r="H95" s="30">
        <v>4.1445214238297251E-2</v>
      </c>
    </row>
    <row r="96" spans="1:8" ht="14.1" customHeight="1">
      <c r="A96" s="29" t="s">
        <v>193</v>
      </c>
      <c r="B96" s="1" t="s">
        <v>519</v>
      </c>
      <c r="C96" s="1" t="s">
        <v>520</v>
      </c>
      <c r="D96" s="1" t="s">
        <v>31</v>
      </c>
      <c r="E96" s="12">
        <v>1448061.9750000001</v>
      </c>
      <c r="F96" s="12">
        <v>12267.104133999999</v>
      </c>
      <c r="G96" s="2">
        <f t="shared" si="1"/>
        <v>0.84713944194273849</v>
      </c>
      <c r="H96" s="30">
        <v>8.9593328553488234E-3</v>
      </c>
    </row>
    <row r="97" spans="1:8" ht="14.1" customHeight="1">
      <c r="A97" s="29" t="s">
        <v>161</v>
      </c>
      <c r="B97" s="1" t="s">
        <v>521</v>
      </c>
      <c r="C97" s="1" t="s">
        <v>522</v>
      </c>
      <c r="D97" s="1" t="s">
        <v>31</v>
      </c>
      <c r="E97" s="12">
        <v>1736593.868</v>
      </c>
      <c r="F97" s="12">
        <v>807923.84286680003</v>
      </c>
      <c r="G97" s="2">
        <f t="shared" si="1"/>
        <v>46.5234766605084</v>
      </c>
      <c r="H97" s="30">
        <v>0.59007069239379806</v>
      </c>
    </row>
    <row r="98" spans="1:8" ht="14.1" customHeight="1">
      <c r="A98" s="29" t="s">
        <v>161</v>
      </c>
      <c r="B98" s="1" t="s">
        <v>523</v>
      </c>
      <c r="C98" s="1" t="s">
        <v>524</v>
      </c>
      <c r="D98" s="1" t="s">
        <v>28</v>
      </c>
      <c r="E98" s="12">
        <v>4136121.3110000002</v>
      </c>
      <c r="F98" s="12">
        <v>219416.801091086</v>
      </c>
      <c r="G98" s="2">
        <f t="shared" si="1"/>
        <v>5.3048927870550555</v>
      </c>
      <c r="H98" s="30">
        <v>0.16025201494640745</v>
      </c>
    </row>
    <row r="99" spans="1:8" ht="14.1" customHeight="1">
      <c r="A99" s="29" t="s">
        <v>316</v>
      </c>
      <c r="B99" s="1" t="s">
        <v>315</v>
      </c>
      <c r="C99" s="1" t="s">
        <v>525</v>
      </c>
      <c r="D99" s="1" t="s">
        <v>317</v>
      </c>
      <c r="E99" s="12">
        <v>17167.102999999999</v>
      </c>
      <c r="F99" s="12">
        <v>0</v>
      </c>
      <c r="G99" s="2">
        <f t="shared" si="1"/>
        <v>0</v>
      </c>
      <c r="H99" s="30">
        <v>0</v>
      </c>
    </row>
    <row r="100" spans="1:8" ht="14.1" customHeight="1">
      <c r="A100" s="29" t="s">
        <v>161</v>
      </c>
      <c r="B100" s="1" t="s">
        <v>526</v>
      </c>
      <c r="C100" s="1" t="s">
        <v>527</v>
      </c>
      <c r="D100" s="1" t="s">
        <v>10</v>
      </c>
      <c r="E100" s="12">
        <v>139223.77600000001</v>
      </c>
      <c r="F100" s="12">
        <v>8739.2963194500007</v>
      </c>
      <c r="G100" s="2">
        <f t="shared" si="1"/>
        <v>6.2771579471095516</v>
      </c>
      <c r="H100" s="30">
        <v>6.3827830751401896E-3</v>
      </c>
    </row>
    <row r="101" spans="1:8" ht="14.1" customHeight="1">
      <c r="A101" s="29" t="s">
        <v>265</v>
      </c>
      <c r="B101" s="1" t="s">
        <v>528</v>
      </c>
      <c r="C101" s="1" t="s">
        <v>529</v>
      </c>
      <c r="D101" s="1" t="s">
        <v>10</v>
      </c>
      <c r="E101" s="12">
        <v>466523.46299999999</v>
      </c>
      <c r="F101" s="12">
        <v>31845.157688046951</v>
      </c>
      <c r="G101" s="2">
        <f t="shared" si="1"/>
        <v>6.8260570397178393</v>
      </c>
      <c r="H101" s="30">
        <v>2.3258249415809784E-2</v>
      </c>
    </row>
    <row r="102" spans="1:8" ht="14.1" customHeight="1">
      <c r="A102" s="29" t="s">
        <v>171</v>
      </c>
      <c r="B102" s="1" t="s">
        <v>530</v>
      </c>
      <c r="C102" s="1" t="s">
        <v>531</v>
      </c>
      <c r="D102" s="1" t="s">
        <v>73</v>
      </c>
      <c r="E102" s="12">
        <v>1354799.091</v>
      </c>
      <c r="F102" s="12">
        <v>60220.252590839998</v>
      </c>
      <c r="G102" s="2">
        <f t="shared" si="1"/>
        <v>4.4449581484728053</v>
      </c>
      <c r="H102" s="30">
        <v>4.3982123384697272E-2</v>
      </c>
    </row>
    <row r="103" spans="1:8" ht="14.1" customHeight="1">
      <c r="A103" s="29" t="s">
        <v>279</v>
      </c>
      <c r="B103" s="1" t="s">
        <v>532</v>
      </c>
      <c r="C103" s="1" t="s">
        <v>533</v>
      </c>
      <c r="D103" s="1" t="s">
        <v>10</v>
      </c>
      <c r="E103" s="12">
        <v>275693.25199999998</v>
      </c>
      <c r="F103" s="12">
        <v>5155.7340803270708</v>
      </c>
      <c r="G103" s="2">
        <f t="shared" si="1"/>
        <v>1.8700980321154439</v>
      </c>
      <c r="H103" s="30">
        <v>3.7655128084621492E-3</v>
      </c>
    </row>
    <row r="104" spans="1:8" ht="14.1" customHeight="1">
      <c r="A104" s="29" t="s">
        <v>145</v>
      </c>
      <c r="B104" s="1" t="s">
        <v>534</v>
      </c>
      <c r="C104" s="1" t="s">
        <v>535</v>
      </c>
      <c r="D104" s="1" t="s">
        <v>31</v>
      </c>
      <c r="E104" s="12">
        <v>706696.33700000006</v>
      </c>
      <c r="F104" s="12">
        <v>613.78325340699996</v>
      </c>
      <c r="G104" s="2">
        <f t="shared" si="1"/>
        <v>8.6852474149303527E-2</v>
      </c>
      <c r="H104" s="30">
        <v>4.482792685415243E-4</v>
      </c>
    </row>
    <row r="105" spans="1:8" ht="14.1" customHeight="1">
      <c r="A105" s="29" t="s">
        <v>229</v>
      </c>
      <c r="B105" s="1" t="s">
        <v>536</v>
      </c>
      <c r="C105" s="1" t="s">
        <v>537</v>
      </c>
      <c r="D105" s="1" t="s">
        <v>73</v>
      </c>
      <c r="E105" s="12">
        <v>1703985.02</v>
      </c>
      <c r="F105" s="12">
        <v>192317.76213729568</v>
      </c>
      <c r="G105" s="2">
        <f t="shared" si="1"/>
        <v>11.286352865783742</v>
      </c>
      <c r="H105" s="30">
        <v>0.14046011398959185</v>
      </c>
    </row>
    <row r="106" spans="1:8" ht="14.1" customHeight="1">
      <c r="A106" s="29" t="s">
        <v>303</v>
      </c>
      <c r="B106" s="1" t="s">
        <v>538</v>
      </c>
      <c r="C106" s="1" t="s">
        <v>539</v>
      </c>
      <c r="D106" s="1" t="s">
        <v>28</v>
      </c>
      <c r="E106" s="12">
        <v>357932.359</v>
      </c>
      <c r="F106" s="12">
        <v>262738.63322242815</v>
      </c>
      <c r="G106" s="2">
        <f t="shared" si="1"/>
        <v>73.404548824943802</v>
      </c>
      <c r="H106" s="30">
        <v>0.1918923034552879</v>
      </c>
    </row>
    <row r="107" spans="1:8" ht="14.1" customHeight="1">
      <c r="A107" s="29" t="s">
        <v>243</v>
      </c>
      <c r="B107" s="1" t="s">
        <v>540</v>
      </c>
      <c r="C107" s="1" t="s">
        <v>541</v>
      </c>
      <c r="D107" s="1" t="s">
        <v>10</v>
      </c>
      <c r="E107" s="12">
        <v>316457.54800000001</v>
      </c>
      <c r="F107" s="12">
        <v>75362.751844336177</v>
      </c>
      <c r="G107" s="2">
        <f t="shared" si="1"/>
        <v>23.814490228034053</v>
      </c>
      <c r="H107" s="30">
        <v>5.5041513571002454E-2</v>
      </c>
    </row>
    <row r="108" spans="1:8" ht="14.1" customHeight="1">
      <c r="A108" s="29" t="s">
        <v>167</v>
      </c>
      <c r="B108" s="1" t="s">
        <v>166</v>
      </c>
      <c r="C108" s="1" t="s">
        <v>542</v>
      </c>
      <c r="D108" s="1" t="s">
        <v>19</v>
      </c>
      <c r="E108" s="12">
        <v>2092228.9550000001</v>
      </c>
      <c r="F108" s="12">
        <v>219033.41591239689</v>
      </c>
      <c r="G108" s="2">
        <f t="shared" si="1"/>
        <v>10.468902812426514</v>
      </c>
      <c r="H108" s="30">
        <v>0.15997200791376454</v>
      </c>
    </row>
    <row r="109" spans="1:8" ht="14.1" customHeight="1">
      <c r="A109" s="29" t="s">
        <v>277</v>
      </c>
      <c r="B109" s="1" t="s">
        <v>543</v>
      </c>
      <c r="C109" s="1" t="s">
        <v>544</v>
      </c>
      <c r="D109" s="1" t="s">
        <v>7</v>
      </c>
      <c r="E109" s="12">
        <v>383464.83</v>
      </c>
      <c r="F109" s="12">
        <v>28930.62138571413</v>
      </c>
      <c r="G109" s="2">
        <f t="shared" si="1"/>
        <v>7.5445305859507723</v>
      </c>
      <c r="H109" s="30">
        <v>2.1129605151739062E-2</v>
      </c>
    </row>
    <row r="110" spans="1:8" ht="14.1" customHeight="1">
      <c r="A110" s="29" t="s">
        <v>233</v>
      </c>
      <c r="B110" s="1" t="s">
        <v>545</v>
      </c>
      <c r="C110" s="1" t="s">
        <v>546</v>
      </c>
      <c r="D110" s="1" t="s">
        <v>10</v>
      </c>
      <c r="E110" s="12">
        <v>3662438.0090000001</v>
      </c>
      <c r="F110" s="12">
        <v>242306.77549021904</v>
      </c>
      <c r="G110" s="2">
        <f t="shared" si="1"/>
        <v>6.6159966365240672</v>
      </c>
      <c r="H110" s="30">
        <v>0.17696980730001119</v>
      </c>
    </row>
    <row r="111" spans="1:8" ht="14.1" customHeight="1">
      <c r="A111" s="29" t="s">
        <v>173</v>
      </c>
      <c r="B111" s="1" t="s">
        <v>172</v>
      </c>
      <c r="C111" s="1" t="s">
        <v>547</v>
      </c>
      <c r="D111" s="1" t="s">
        <v>19</v>
      </c>
      <c r="E111" s="12">
        <v>2843199.4380000001</v>
      </c>
      <c r="F111" s="12">
        <v>882084.37249315507</v>
      </c>
      <c r="G111" s="2">
        <f t="shared" si="1"/>
        <v>31.024358006824954</v>
      </c>
      <c r="H111" s="30">
        <v>0.64423415773929193</v>
      </c>
    </row>
    <row r="112" spans="1:8" ht="14.1" customHeight="1">
      <c r="A112" s="29" t="s">
        <v>175</v>
      </c>
      <c r="B112" s="1" t="s">
        <v>548</v>
      </c>
      <c r="C112" s="1" t="s">
        <v>549</v>
      </c>
      <c r="D112" s="1" t="s">
        <v>19</v>
      </c>
      <c r="E112" s="12">
        <v>1589590.406</v>
      </c>
      <c r="F112" s="12">
        <v>129622.29927333555</v>
      </c>
      <c r="G112" s="2">
        <f t="shared" si="1"/>
        <v>8.1544465029525082</v>
      </c>
      <c r="H112" s="30">
        <v>9.4670210016940037E-2</v>
      </c>
    </row>
    <row r="113" spans="1:8" ht="14.1" customHeight="1">
      <c r="A113" s="29" t="s">
        <v>143</v>
      </c>
      <c r="B113" s="1" t="s">
        <v>550</v>
      </c>
      <c r="C113" s="1" t="s">
        <v>551</v>
      </c>
      <c r="D113" s="1" t="s">
        <v>28</v>
      </c>
      <c r="E113" s="12">
        <v>982807.04000000004</v>
      </c>
      <c r="F113" s="12">
        <v>12791.985103369299</v>
      </c>
      <c r="G113" s="2">
        <f t="shared" si="1"/>
        <v>1.3015764623917732</v>
      </c>
      <c r="H113" s="30">
        <v>9.3426819540969007E-3</v>
      </c>
    </row>
    <row r="114" spans="1:8" ht="14.1" customHeight="1">
      <c r="A114" s="29" t="s">
        <v>157</v>
      </c>
      <c r="B114" s="1" t="s">
        <v>552</v>
      </c>
      <c r="C114" s="1" t="s">
        <v>553</v>
      </c>
      <c r="D114" s="1" t="s">
        <v>28</v>
      </c>
      <c r="E114" s="12">
        <v>80963.77</v>
      </c>
      <c r="F114" s="12">
        <v>4598.1966211981999</v>
      </c>
      <c r="G114" s="2">
        <f t="shared" si="1"/>
        <v>5.6793262235666644</v>
      </c>
      <c r="H114" s="30">
        <v>3.358312900391246E-3</v>
      </c>
    </row>
    <row r="115" spans="1:8" ht="14.1" customHeight="1">
      <c r="A115" s="29" t="s">
        <v>239</v>
      </c>
      <c r="B115" s="1" t="s">
        <v>554</v>
      </c>
      <c r="C115" s="1" t="s">
        <v>555</v>
      </c>
      <c r="D115" s="1" t="s">
        <v>10</v>
      </c>
      <c r="E115" s="12">
        <v>97772.516000000003</v>
      </c>
      <c r="F115" s="12">
        <v>194.71570270100003</v>
      </c>
      <c r="G115" s="2">
        <f t="shared" si="1"/>
        <v>0.19915177666185868</v>
      </c>
      <c r="H115" s="30">
        <v>1.422114603092195E-4</v>
      </c>
    </row>
    <row r="116" spans="1:8" ht="14.1" customHeight="1">
      <c r="A116" s="29" t="s">
        <v>161</v>
      </c>
      <c r="B116" s="1" t="s">
        <v>556</v>
      </c>
      <c r="C116" s="1" t="s">
        <v>557</v>
      </c>
      <c r="D116" s="1" t="s">
        <v>317</v>
      </c>
      <c r="E116" s="12">
        <v>1456544.1310000001</v>
      </c>
      <c r="F116" s="12">
        <v>0</v>
      </c>
      <c r="G116" s="2">
        <f t="shared" si="1"/>
        <v>0</v>
      </c>
      <c r="H116" s="30">
        <v>0</v>
      </c>
    </row>
    <row r="117" spans="1:8" ht="14.1" customHeight="1">
      <c r="A117" s="29" t="s">
        <v>259</v>
      </c>
      <c r="B117" s="1" t="s">
        <v>558</v>
      </c>
      <c r="C117" s="1" t="s">
        <v>559</v>
      </c>
      <c r="D117" s="1" t="s">
        <v>560</v>
      </c>
      <c r="E117" s="12">
        <v>5152029.2189999996</v>
      </c>
      <c r="F117" s="12">
        <v>4218908.5005075699</v>
      </c>
      <c r="G117" s="2">
        <f t="shared" si="1"/>
        <v>81.888287530451024</v>
      </c>
      <c r="H117" s="30">
        <v>3.0812981718760972</v>
      </c>
    </row>
    <row r="118" spans="1:8" ht="14.1" customHeight="1">
      <c r="A118" s="29" t="s">
        <v>207</v>
      </c>
      <c r="B118" s="1" t="s">
        <v>561</v>
      </c>
      <c r="C118" s="1" t="s">
        <v>562</v>
      </c>
      <c r="D118" s="1" t="s">
        <v>28</v>
      </c>
      <c r="E118" s="12">
        <v>2449963.827</v>
      </c>
      <c r="F118" s="12">
        <v>4753.2413443300002</v>
      </c>
      <c r="G118" s="2">
        <f t="shared" si="1"/>
        <v>0.19401271528773473</v>
      </c>
      <c r="H118" s="30">
        <v>3.4715504882383338E-3</v>
      </c>
    </row>
    <row r="119" spans="1:8" ht="14.1" customHeight="1">
      <c r="A119" s="29" t="s">
        <v>207</v>
      </c>
      <c r="B119" s="1" t="s">
        <v>563</v>
      </c>
      <c r="C119" s="1" t="s">
        <v>564</v>
      </c>
      <c r="D119" s="1" t="s">
        <v>28</v>
      </c>
      <c r="E119" s="12">
        <v>1831822.7649999999</v>
      </c>
      <c r="F119" s="12">
        <v>39778.095505600002</v>
      </c>
      <c r="G119" s="2">
        <f t="shared" si="1"/>
        <v>2.1715035027201446</v>
      </c>
      <c r="H119" s="30">
        <v>2.9052105052141355E-2</v>
      </c>
    </row>
    <row r="120" spans="1:8" ht="14.1" customHeight="1">
      <c r="A120" s="29" t="s">
        <v>143</v>
      </c>
      <c r="B120" s="1" t="s">
        <v>565</v>
      </c>
      <c r="C120" s="1" t="s">
        <v>566</v>
      </c>
      <c r="D120" s="1" t="s">
        <v>317</v>
      </c>
      <c r="E120" s="12">
        <v>162442.179</v>
      </c>
      <c r="F120" s="12">
        <v>0</v>
      </c>
      <c r="G120" s="2">
        <f t="shared" si="1"/>
        <v>0</v>
      </c>
      <c r="H120" s="30">
        <v>0</v>
      </c>
    </row>
    <row r="121" spans="1:8" ht="14.1" customHeight="1">
      <c r="A121" s="29" t="s">
        <v>147</v>
      </c>
      <c r="B121" s="1" t="s">
        <v>567</v>
      </c>
      <c r="C121" s="1" t="s">
        <v>568</v>
      </c>
      <c r="D121" s="1" t="s">
        <v>19</v>
      </c>
      <c r="E121" s="12">
        <v>526566.69099999999</v>
      </c>
      <c r="F121" s="12">
        <v>18776.900479899999</v>
      </c>
      <c r="G121" s="2">
        <f t="shared" si="1"/>
        <v>3.5659111753234689</v>
      </c>
      <c r="H121" s="30">
        <v>1.3713790928448572E-2</v>
      </c>
    </row>
    <row r="122" spans="1:8" ht="14.1" customHeight="1">
      <c r="A122" s="29" t="s">
        <v>299</v>
      </c>
      <c r="B122" s="1" t="s">
        <v>569</v>
      </c>
      <c r="C122" s="1" t="s">
        <v>570</v>
      </c>
      <c r="D122" s="1" t="s">
        <v>36</v>
      </c>
      <c r="E122" s="12">
        <v>688317.701</v>
      </c>
      <c r="F122" s="12">
        <v>8494.486589900971</v>
      </c>
      <c r="G122" s="2">
        <f t="shared" si="1"/>
        <v>1.2340938751916495</v>
      </c>
      <c r="H122" s="30">
        <v>6.2039852244576837E-3</v>
      </c>
    </row>
    <row r="123" spans="1:8" ht="14.1" customHeight="1">
      <c r="A123" s="29" t="s">
        <v>197</v>
      </c>
      <c r="B123" s="1" t="s">
        <v>571</v>
      </c>
      <c r="C123" s="1" t="s">
        <v>572</v>
      </c>
      <c r="D123" s="1" t="s">
        <v>7</v>
      </c>
      <c r="E123" s="12">
        <v>2914113.6260000002</v>
      </c>
      <c r="F123" s="12">
        <v>2913152.3945399998</v>
      </c>
      <c r="G123" s="2">
        <f t="shared" si="1"/>
        <v>99.967014619765536</v>
      </c>
      <c r="H123" s="30">
        <v>2.1276335209954551</v>
      </c>
    </row>
    <row r="124" spans="1:8" ht="14.1" customHeight="1">
      <c r="A124" s="29" t="s">
        <v>263</v>
      </c>
      <c r="B124" s="1" t="s">
        <v>573</v>
      </c>
      <c r="C124" s="1" t="s">
        <v>574</v>
      </c>
      <c r="D124" s="1" t="s">
        <v>324</v>
      </c>
      <c r="E124" s="12">
        <v>623515.49</v>
      </c>
      <c r="F124" s="12">
        <v>161611.38385812109</v>
      </c>
      <c r="G124" s="2">
        <f t="shared" si="1"/>
        <v>25.919385556583542</v>
      </c>
      <c r="H124" s="30">
        <v>0.11803357706773787</v>
      </c>
    </row>
    <row r="125" spans="1:8" ht="14.1" customHeight="1">
      <c r="A125" s="29" t="s">
        <v>143</v>
      </c>
      <c r="B125" s="1" t="s">
        <v>575</v>
      </c>
      <c r="C125" s="1" t="s">
        <v>576</v>
      </c>
      <c r="D125" s="1" t="s">
        <v>28</v>
      </c>
      <c r="E125" s="12">
        <v>1697944.737</v>
      </c>
      <c r="F125" s="12">
        <v>6001.14403535781</v>
      </c>
      <c r="G125" s="2">
        <f t="shared" si="1"/>
        <v>0.35343576882018457</v>
      </c>
      <c r="H125" s="30">
        <v>4.3829616459064007E-3</v>
      </c>
    </row>
    <row r="126" spans="1:8" ht="14.1" customHeight="1">
      <c r="A126" s="29" t="s">
        <v>165</v>
      </c>
      <c r="B126" s="1" t="s">
        <v>577</v>
      </c>
      <c r="C126" s="1" t="s">
        <v>578</v>
      </c>
      <c r="D126" s="1" t="s">
        <v>7</v>
      </c>
      <c r="E126" s="12">
        <v>5058245.6380000003</v>
      </c>
      <c r="F126" s="12">
        <v>385176.20106946077</v>
      </c>
      <c r="G126" s="2">
        <f t="shared" si="1"/>
        <v>7.614818034455066</v>
      </c>
      <c r="H126" s="30">
        <v>0.28131511362778372</v>
      </c>
    </row>
    <row r="127" spans="1:8" ht="14.1" customHeight="1">
      <c r="A127" s="29" t="s">
        <v>223</v>
      </c>
      <c r="B127" s="1" t="s">
        <v>579</v>
      </c>
      <c r="C127" s="1" t="s">
        <v>580</v>
      </c>
      <c r="D127" s="1" t="s">
        <v>7</v>
      </c>
      <c r="E127" s="12">
        <v>3415839.446</v>
      </c>
      <c r="F127" s="12">
        <v>934895.08008720144</v>
      </c>
      <c r="G127" s="2">
        <f t="shared" si="1"/>
        <v>27.369409331635236</v>
      </c>
      <c r="H127" s="30">
        <v>0.68280468771059621</v>
      </c>
    </row>
    <row r="128" spans="1:8" ht="14.1" customHeight="1">
      <c r="A128" s="29" t="s">
        <v>229</v>
      </c>
      <c r="B128" s="1" t="s">
        <v>581</v>
      </c>
      <c r="C128" s="1" t="s">
        <v>582</v>
      </c>
      <c r="D128" s="1" t="s">
        <v>28</v>
      </c>
      <c r="E128" s="12">
        <v>1563268.9850000001</v>
      </c>
      <c r="F128" s="12">
        <v>27781.329542774001</v>
      </c>
      <c r="G128" s="2">
        <f t="shared" si="1"/>
        <v>1.7771304752632828</v>
      </c>
      <c r="H128" s="30">
        <v>2.0290214855842037E-2</v>
      </c>
    </row>
    <row r="129" spans="1:8" ht="14.1" customHeight="1">
      <c r="A129" s="29" t="s">
        <v>231</v>
      </c>
      <c r="B129" s="1" t="s">
        <v>583</v>
      </c>
      <c r="C129" s="1" t="s">
        <v>584</v>
      </c>
      <c r="D129" s="1" t="s">
        <v>7</v>
      </c>
      <c r="E129" s="12">
        <v>21135040.283</v>
      </c>
      <c r="F129" s="12">
        <v>1434805.7415230218</v>
      </c>
      <c r="G129" s="2">
        <f t="shared" si="1"/>
        <v>6.7887532851172745</v>
      </c>
      <c r="H129" s="30">
        <v>1.0479166134606437</v>
      </c>
    </row>
    <row r="130" spans="1:8" ht="14.1" customHeight="1">
      <c r="A130" s="29" t="s">
        <v>239</v>
      </c>
      <c r="B130" s="1" t="s">
        <v>585</v>
      </c>
      <c r="C130" s="1" t="s">
        <v>586</v>
      </c>
      <c r="D130" s="1" t="s">
        <v>10</v>
      </c>
      <c r="E130" s="12">
        <v>319095.57900000003</v>
      </c>
      <c r="F130" s="12">
        <v>13540.944933427998</v>
      </c>
      <c r="G130" s="2">
        <f t="shared" si="1"/>
        <v>4.2435388719152378</v>
      </c>
      <c r="H130" s="30">
        <v>9.8896880232948597E-3</v>
      </c>
    </row>
    <row r="131" spans="1:8" ht="14.1" customHeight="1">
      <c r="A131" s="29" t="s">
        <v>239</v>
      </c>
      <c r="B131" s="1" t="s">
        <v>587</v>
      </c>
      <c r="C131" s="1" t="s">
        <v>588</v>
      </c>
      <c r="D131" s="1" t="s">
        <v>10</v>
      </c>
      <c r="E131" s="12">
        <v>35708.962</v>
      </c>
      <c r="F131" s="12">
        <v>3720.2960753961002</v>
      </c>
      <c r="G131" s="2">
        <f t="shared" si="1"/>
        <v>10.418382016806033</v>
      </c>
      <c r="H131" s="30">
        <v>2.7171344186717222E-3</v>
      </c>
    </row>
    <row r="132" spans="1:8" ht="14.1" customHeight="1">
      <c r="A132" s="29" t="s">
        <v>305</v>
      </c>
      <c r="B132" s="1" t="s">
        <v>589</v>
      </c>
      <c r="C132" s="1" t="s">
        <v>590</v>
      </c>
      <c r="D132" s="1" t="s">
        <v>7</v>
      </c>
      <c r="E132" s="12">
        <v>1588633.8419999999</v>
      </c>
      <c r="F132" s="12">
        <v>752763.15910875332</v>
      </c>
      <c r="G132" s="2">
        <f t="shared" ref="G132:G195" si="2">F132/E132*100</f>
        <v>47.384308404324763</v>
      </c>
      <c r="H132" s="30">
        <v>0.54978384711079265</v>
      </c>
    </row>
    <row r="133" spans="1:8" ht="14.1" customHeight="1">
      <c r="A133" s="29" t="s">
        <v>199</v>
      </c>
      <c r="B133" s="1" t="s">
        <v>591</v>
      </c>
      <c r="C133" s="1" t="s">
        <v>592</v>
      </c>
      <c r="D133" s="1" t="s">
        <v>317</v>
      </c>
      <c r="E133" s="12">
        <v>375667.60600000003</v>
      </c>
      <c r="F133" s="12">
        <v>0</v>
      </c>
      <c r="G133" s="2">
        <f t="shared" si="2"/>
        <v>0</v>
      </c>
      <c r="H133" s="30">
        <v>0</v>
      </c>
    </row>
    <row r="134" spans="1:8" ht="14.1" customHeight="1">
      <c r="A134" s="29" t="s">
        <v>243</v>
      </c>
      <c r="B134" s="1" t="s">
        <v>593</v>
      </c>
      <c r="C134" s="1" t="s">
        <v>594</v>
      </c>
      <c r="D134" s="1" t="s">
        <v>10</v>
      </c>
      <c r="E134" s="12">
        <v>113182.579</v>
      </c>
      <c r="F134" s="12">
        <v>1908.8035863901</v>
      </c>
      <c r="G134" s="2">
        <f t="shared" si="2"/>
        <v>1.6864817918578265</v>
      </c>
      <c r="H134" s="30">
        <v>1.3941030009318165E-3</v>
      </c>
    </row>
    <row r="135" spans="1:8" ht="14.1" customHeight="1">
      <c r="A135" s="29" t="s">
        <v>279</v>
      </c>
      <c r="B135" s="1" t="s">
        <v>595</v>
      </c>
      <c r="C135" s="1" t="s">
        <v>596</v>
      </c>
      <c r="D135" s="1" t="s">
        <v>10</v>
      </c>
      <c r="E135" s="12">
        <v>179126.11499999999</v>
      </c>
      <c r="F135" s="12">
        <v>139513.39381825033</v>
      </c>
      <c r="G135" s="2">
        <f t="shared" si="2"/>
        <v>77.885568956961052</v>
      </c>
      <c r="H135" s="30">
        <v>0.10189421393535468</v>
      </c>
    </row>
    <row r="136" spans="1:8" ht="14.1" customHeight="1">
      <c r="A136" s="29" t="s">
        <v>159</v>
      </c>
      <c r="B136" s="1" t="s">
        <v>597</v>
      </c>
      <c r="C136" s="1" t="s">
        <v>598</v>
      </c>
      <c r="D136" s="1" t="s">
        <v>31</v>
      </c>
      <c r="E136" s="12">
        <v>525998.26399999997</v>
      </c>
      <c r="F136" s="12">
        <v>176244.163233</v>
      </c>
      <c r="G136" s="2">
        <f t="shared" si="2"/>
        <v>33.506605495755018</v>
      </c>
      <c r="H136" s="30">
        <v>0.12872069112386311</v>
      </c>
    </row>
    <row r="137" spans="1:8" ht="14.1" customHeight="1">
      <c r="A137" s="29" t="s">
        <v>183</v>
      </c>
      <c r="B137" s="1" t="s">
        <v>599</v>
      </c>
      <c r="C137" s="1" t="s">
        <v>600</v>
      </c>
      <c r="D137" s="1" t="s">
        <v>31</v>
      </c>
      <c r="E137" s="12">
        <v>1172576.057</v>
      </c>
      <c r="F137" s="12">
        <v>157928.49034707021</v>
      </c>
      <c r="G137" s="2">
        <f t="shared" si="2"/>
        <v>13.468507173097619</v>
      </c>
      <c r="H137" s="30">
        <v>0.11534375977460387</v>
      </c>
    </row>
    <row r="138" spans="1:8" ht="14.1" customHeight="1">
      <c r="A138" s="29" t="s">
        <v>183</v>
      </c>
      <c r="B138" s="1" t="s">
        <v>601</v>
      </c>
      <c r="C138" s="1" t="s">
        <v>602</v>
      </c>
      <c r="D138" s="1" t="s">
        <v>31</v>
      </c>
      <c r="E138" s="12">
        <v>2319397.534</v>
      </c>
      <c r="F138" s="12">
        <v>488413.1336030573</v>
      </c>
      <c r="G138" s="2">
        <f t="shared" si="2"/>
        <v>21.057758596507039</v>
      </c>
      <c r="H138" s="30">
        <v>0.35671465629328508</v>
      </c>
    </row>
    <row r="139" spans="1:8" ht="14.1" customHeight="1">
      <c r="A139" s="29" t="s">
        <v>185</v>
      </c>
      <c r="B139" s="1" t="s">
        <v>603</v>
      </c>
      <c r="C139" s="1" t="s">
        <v>604</v>
      </c>
      <c r="D139" s="1" t="s">
        <v>19</v>
      </c>
      <c r="E139" s="12">
        <v>1601515.669</v>
      </c>
      <c r="F139" s="12">
        <v>68520.302341519011</v>
      </c>
      <c r="G139" s="2">
        <f t="shared" si="2"/>
        <v>4.2784659349791854</v>
      </c>
      <c r="H139" s="30">
        <v>5.0044100818000467E-2</v>
      </c>
    </row>
    <row r="140" spans="1:8" ht="14.1" customHeight="1">
      <c r="A140" s="29" t="s">
        <v>181</v>
      </c>
      <c r="B140" s="1" t="s">
        <v>605</v>
      </c>
      <c r="C140" s="1" t="s">
        <v>606</v>
      </c>
      <c r="D140" s="1" t="s">
        <v>7</v>
      </c>
      <c r="E140" s="12">
        <v>1577937.611</v>
      </c>
      <c r="F140" s="12">
        <v>439179.1077856276</v>
      </c>
      <c r="G140" s="2">
        <f t="shared" si="2"/>
        <v>27.83247605761186</v>
      </c>
      <c r="H140" s="30">
        <v>0.32075637141294328</v>
      </c>
    </row>
    <row r="141" spans="1:8" ht="14.1" customHeight="1">
      <c r="A141" s="29" t="s">
        <v>169</v>
      </c>
      <c r="B141" s="1" t="s">
        <v>607</v>
      </c>
      <c r="C141" s="1" t="s">
        <v>608</v>
      </c>
      <c r="D141" s="1" t="s">
        <v>7</v>
      </c>
      <c r="E141" s="12">
        <v>3432084.4169999999</v>
      </c>
      <c r="F141" s="12">
        <v>60433.199145693303</v>
      </c>
      <c r="G141" s="2">
        <f t="shared" si="2"/>
        <v>1.7608307897775497</v>
      </c>
      <c r="H141" s="30">
        <v>4.4137649827164054E-2</v>
      </c>
    </row>
    <row r="142" spans="1:8" ht="14.1" customHeight="1">
      <c r="A142" s="29" t="s">
        <v>215</v>
      </c>
      <c r="B142" s="1" t="s">
        <v>609</v>
      </c>
      <c r="C142" s="1" t="s">
        <v>610</v>
      </c>
      <c r="D142" s="1" t="s">
        <v>31</v>
      </c>
      <c r="E142" s="12">
        <v>370729.853</v>
      </c>
      <c r="F142" s="12">
        <v>18181.238714513052</v>
      </c>
      <c r="G142" s="2">
        <f t="shared" si="2"/>
        <v>4.9041744459982972</v>
      </c>
      <c r="H142" s="30">
        <v>1.327874676749498E-2</v>
      </c>
    </row>
    <row r="143" spans="1:8" ht="14.1" customHeight="1">
      <c r="A143" s="29" t="s">
        <v>189</v>
      </c>
      <c r="B143" s="1" t="s">
        <v>611</v>
      </c>
      <c r="C143" s="1" t="s">
        <v>612</v>
      </c>
      <c r="D143" s="1" t="s">
        <v>58</v>
      </c>
      <c r="E143" s="12">
        <v>496398.41200000001</v>
      </c>
      <c r="F143" s="12">
        <v>146182.12528072574</v>
      </c>
      <c r="G143" s="2">
        <f t="shared" si="2"/>
        <v>29.448548131279225</v>
      </c>
      <c r="H143" s="30">
        <v>0.10676475096207283</v>
      </c>
    </row>
    <row r="144" spans="1:8" ht="14.1" customHeight="1">
      <c r="A144" s="29" t="s">
        <v>253</v>
      </c>
      <c r="B144" s="1" t="s">
        <v>613</v>
      </c>
      <c r="C144" s="1" t="s">
        <v>614</v>
      </c>
      <c r="D144" s="1" t="s">
        <v>7</v>
      </c>
      <c r="E144" s="12">
        <v>1951434.986</v>
      </c>
      <c r="F144" s="12">
        <v>10805.208804141999</v>
      </c>
      <c r="G144" s="2">
        <f t="shared" si="2"/>
        <v>0.55370580530024371</v>
      </c>
      <c r="H144" s="30">
        <v>7.8916312432319169E-3</v>
      </c>
    </row>
    <row r="145" spans="1:8" ht="14.1" customHeight="1">
      <c r="A145" s="29" t="s">
        <v>193</v>
      </c>
      <c r="B145" s="1" t="s">
        <v>615</v>
      </c>
      <c r="C145" s="1" t="s">
        <v>616</v>
      </c>
      <c r="D145" s="1" t="s">
        <v>31</v>
      </c>
      <c r="E145" s="12">
        <v>2049193.3940000001</v>
      </c>
      <c r="F145" s="12">
        <v>551023.77966164949</v>
      </c>
      <c r="G145" s="2">
        <f t="shared" si="2"/>
        <v>26.889788990879865</v>
      </c>
      <c r="H145" s="30">
        <v>0.40244261394325809</v>
      </c>
    </row>
    <row r="146" spans="1:8" ht="14.1" customHeight="1">
      <c r="A146" s="29" t="s">
        <v>193</v>
      </c>
      <c r="B146" s="1" t="s">
        <v>617</v>
      </c>
      <c r="C146" s="1" t="s">
        <v>618</v>
      </c>
      <c r="D146" s="1" t="s">
        <v>31</v>
      </c>
      <c r="E146" s="12">
        <v>1556181.9439999999</v>
      </c>
      <c r="F146" s="12">
        <v>189592.22697495524</v>
      </c>
      <c r="G146" s="2">
        <f t="shared" si="2"/>
        <v>12.18316583777014</v>
      </c>
      <c r="H146" s="30">
        <v>0.13846950753010281</v>
      </c>
    </row>
    <row r="147" spans="1:8" ht="14.1" customHeight="1">
      <c r="A147" s="29" t="s">
        <v>179</v>
      </c>
      <c r="B147" s="1" t="s">
        <v>619</v>
      </c>
      <c r="C147" s="1" t="s">
        <v>620</v>
      </c>
      <c r="D147" s="1" t="s">
        <v>28</v>
      </c>
      <c r="E147" s="12">
        <v>1041407.349</v>
      </c>
      <c r="F147" s="12">
        <v>97753.617455255502</v>
      </c>
      <c r="G147" s="2">
        <f t="shared" si="2"/>
        <v>9.386684043388243</v>
      </c>
      <c r="H147" s="30">
        <v>7.1394779650451365E-2</v>
      </c>
    </row>
    <row r="148" spans="1:8" ht="14.1" customHeight="1">
      <c r="A148" s="29" t="s">
        <v>225</v>
      </c>
      <c r="B148" s="1" t="s">
        <v>621</v>
      </c>
      <c r="C148" s="1" t="s">
        <v>622</v>
      </c>
      <c r="D148" s="1" t="s">
        <v>28</v>
      </c>
      <c r="E148" s="12">
        <v>2292025.733</v>
      </c>
      <c r="F148" s="12">
        <v>9352.2815280140003</v>
      </c>
      <c r="G148" s="2">
        <f t="shared" si="2"/>
        <v>0.40803562513990327</v>
      </c>
      <c r="H148" s="30">
        <v>6.8304794881598367E-3</v>
      </c>
    </row>
    <row r="149" spans="1:8" ht="14.1" customHeight="1">
      <c r="A149" s="29" t="s">
        <v>195</v>
      </c>
      <c r="B149" s="1" t="s">
        <v>623</v>
      </c>
      <c r="C149" s="1" t="s">
        <v>624</v>
      </c>
      <c r="D149" s="1" t="s">
        <v>7</v>
      </c>
      <c r="E149" s="12">
        <v>1969997.1939999999</v>
      </c>
      <c r="F149" s="12">
        <v>357277.55324068223</v>
      </c>
      <c r="G149" s="2">
        <f t="shared" si="2"/>
        <v>18.135942240366575</v>
      </c>
      <c r="H149" s="30">
        <v>0.26093921485152721</v>
      </c>
    </row>
    <row r="150" spans="1:8" ht="14.1" customHeight="1">
      <c r="A150" s="29" t="s">
        <v>207</v>
      </c>
      <c r="B150" s="1" t="s">
        <v>625</v>
      </c>
      <c r="C150" s="1" t="s">
        <v>626</v>
      </c>
      <c r="D150" s="1" t="s">
        <v>28</v>
      </c>
      <c r="E150" s="12">
        <v>1403936.6059999999</v>
      </c>
      <c r="F150" s="12">
        <v>213730.87396627117</v>
      </c>
      <c r="G150" s="2">
        <f t="shared" si="2"/>
        <v>15.22368410744831</v>
      </c>
      <c r="H150" s="30">
        <v>0.15609927334203161</v>
      </c>
    </row>
    <row r="151" spans="1:8" ht="14.1" customHeight="1">
      <c r="A151" s="29" t="s">
        <v>261</v>
      </c>
      <c r="B151" s="1" t="s">
        <v>627</v>
      </c>
      <c r="C151" s="1" t="s">
        <v>628</v>
      </c>
      <c r="D151" s="1" t="s">
        <v>36</v>
      </c>
      <c r="E151" s="12">
        <v>1246995.2169999999</v>
      </c>
      <c r="F151" s="12">
        <v>111091.47268648059</v>
      </c>
      <c r="G151" s="2">
        <f t="shared" si="2"/>
        <v>8.9087328621630633</v>
      </c>
      <c r="H151" s="30">
        <v>8.113614022648126E-2</v>
      </c>
    </row>
    <row r="152" spans="1:8" ht="14.1" customHeight="1">
      <c r="A152" s="29" t="s">
        <v>237</v>
      </c>
      <c r="B152" s="1" t="s">
        <v>629</v>
      </c>
      <c r="C152" s="1" t="s">
        <v>630</v>
      </c>
      <c r="D152" s="1" t="s">
        <v>323</v>
      </c>
      <c r="E152" s="12">
        <v>554774.95799999998</v>
      </c>
      <c r="F152" s="12">
        <v>66670.105034518536</v>
      </c>
      <c r="G152" s="2">
        <f t="shared" si="2"/>
        <v>12.017504408430515</v>
      </c>
      <c r="H152" s="30">
        <v>4.8692801168106481E-2</v>
      </c>
    </row>
    <row r="153" spans="1:8" ht="14.1" customHeight="1">
      <c r="A153" s="29" t="s">
        <v>239</v>
      </c>
      <c r="B153" s="1" t="s">
        <v>631</v>
      </c>
      <c r="C153" s="1" t="s">
        <v>632</v>
      </c>
      <c r="D153" s="1" t="s">
        <v>10</v>
      </c>
      <c r="E153" s="12">
        <v>277299.09999999998</v>
      </c>
      <c r="F153" s="12">
        <v>1006.4499435680001</v>
      </c>
      <c r="G153" s="2">
        <f t="shared" si="2"/>
        <v>0.36294742520549117</v>
      </c>
      <c r="H153" s="30">
        <v>7.3506509345433381E-4</v>
      </c>
    </row>
    <row r="154" spans="1:8" ht="14.1" customHeight="1">
      <c r="A154" s="29" t="s">
        <v>299</v>
      </c>
      <c r="B154" s="1" t="s">
        <v>633</v>
      </c>
      <c r="C154" s="1" t="s">
        <v>634</v>
      </c>
      <c r="D154" s="1" t="s">
        <v>36</v>
      </c>
      <c r="E154" s="12">
        <v>1326133.041</v>
      </c>
      <c r="F154" s="12">
        <v>118238.29236331754</v>
      </c>
      <c r="G154" s="2">
        <f t="shared" si="2"/>
        <v>8.9160203922041887</v>
      </c>
      <c r="H154" s="30">
        <v>8.6355851059820368E-2</v>
      </c>
    </row>
    <row r="155" spans="1:8" ht="14.1" customHeight="1">
      <c r="A155" s="29" t="s">
        <v>161</v>
      </c>
      <c r="B155" s="1" t="s">
        <v>635</v>
      </c>
      <c r="C155" s="1" t="s">
        <v>636</v>
      </c>
      <c r="D155" s="1" t="s">
        <v>28</v>
      </c>
      <c r="E155" s="12">
        <v>5182219.2520000003</v>
      </c>
      <c r="F155" s="12">
        <v>326471.51818749099</v>
      </c>
      <c r="G155" s="2">
        <f t="shared" si="2"/>
        <v>6.2998399394524691</v>
      </c>
      <c r="H155" s="30">
        <v>0.23843989317135109</v>
      </c>
    </row>
    <row r="156" spans="1:8" ht="14.1" customHeight="1">
      <c r="A156" s="29" t="s">
        <v>171</v>
      </c>
      <c r="B156" s="1" t="s">
        <v>637</v>
      </c>
      <c r="C156" s="1" t="s">
        <v>638</v>
      </c>
      <c r="D156" s="1" t="s">
        <v>10</v>
      </c>
      <c r="E156" s="12">
        <v>147137.83300000001</v>
      </c>
      <c r="F156" s="12">
        <v>2779.3715996999999</v>
      </c>
      <c r="G156" s="2">
        <f t="shared" si="2"/>
        <v>1.8889578180072828</v>
      </c>
      <c r="H156" s="30">
        <v>2.029926135655614E-3</v>
      </c>
    </row>
    <row r="157" spans="1:8" ht="14.1" customHeight="1">
      <c r="A157" s="29" t="s">
        <v>267</v>
      </c>
      <c r="B157" s="1" t="s">
        <v>639</v>
      </c>
      <c r="C157" s="1" t="s">
        <v>640</v>
      </c>
      <c r="D157" s="1" t="s">
        <v>28</v>
      </c>
      <c r="E157" s="12">
        <v>356502.45400000003</v>
      </c>
      <c r="F157" s="12">
        <v>227009.51992519016</v>
      </c>
      <c r="G157" s="2">
        <f t="shared" si="2"/>
        <v>63.676846366165584</v>
      </c>
      <c r="H157" s="30">
        <v>0.16579739016852468</v>
      </c>
    </row>
    <row r="158" spans="1:8" ht="14.1" customHeight="1">
      <c r="A158" s="29" t="s">
        <v>299</v>
      </c>
      <c r="B158" s="1" t="s">
        <v>641</v>
      </c>
      <c r="C158" s="1" t="s">
        <v>642</v>
      </c>
      <c r="D158" s="1" t="s">
        <v>36</v>
      </c>
      <c r="E158" s="12">
        <v>237415.90100000001</v>
      </c>
      <c r="F158" s="12">
        <v>178656.76793956169</v>
      </c>
      <c r="G158" s="2">
        <f t="shared" si="2"/>
        <v>75.250548588808158</v>
      </c>
      <c r="H158" s="30">
        <v>0.13048274746400271</v>
      </c>
    </row>
    <row r="159" spans="1:8" ht="14.1" customHeight="1">
      <c r="A159" s="29" t="s">
        <v>249</v>
      </c>
      <c r="B159" s="1" t="s">
        <v>643</v>
      </c>
      <c r="C159" s="1" t="s">
        <v>644</v>
      </c>
      <c r="D159" s="1" t="s">
        <v>19</v>
      </c>
      <c r="E159" s="12">
        <v>749823.15399999998</v>
      </c>
      <c r="F159" s="12">
        <v>372921.65927348362</v>
      </c>
      <c r="G159" s="2">
        <f t="shared" si="2"/>
        <v>49.734615060111039</v>
      </c>
      <c r="H159" s="30">
        <v>0.27236495573064495</v>
      </c>
    </row>
    <row r="160" spans="1:8" ht="14.1" customHeight="1">
      <c r="A160" s="29" t="s">
        <v>131</v>
      </c>
      <c r="B160" s="1" t="s">
        <v>645</v>
      </c>
      <c r="C160" s="1" t="s">
        <v>646</v>
      </c>
      <c r="D160" s="1" t="s">
        <v>19</v>
      </c>
      <c r="E160" s="12">
        <v>268734.71000000002</v>
      </c>
      <c r="F160" s="12">
        <v>253880.83077599999</v>
      </c>
      <c r="G160" s="2">
        <f t="shared" si="2"/>
        <v>94.472660705422072</v>
      </c>
      <c r="H160" s="30">
        <v>0.18542296891491211</v>
      </c>
    </row>
    <row r="161" spans="1:8" ht="14.1" customHeight="1">
      <c r="A161" s="29" t="s">
        <v>243</v>
      </c>
      <c r="B161" s="1" t="s">
        <v>647</v>
      </c>
      <c r="C161" s="1" t="s">
        <v>648</v>
      </c>
      <c r="D161" s="1" t="s">
        <v>10</v>
      </c>
      <c r="E161" s="12">
        <v>73476.907999999996</v>
      </c>
      <c r="F161" s="12">
        <v>54863.489712648196</v>
      </c>
      <c r="G161" s="2">
        <f t="shared" si="2"/>
        <v>74.667662543241747</v>
      </c>
      <c r="H161" s="30">
        <v>4.0069788319416676E-2</v>
      </c>
    </row>
    <row r="162" spans="1:8" ht="14.1" customHeight="1">
      <c r="A162" s="29" t="s">
        <v>267</v>
      </c>
      <c r="B162" s="1" t="s">
        <v>649</v>
      </c>
      <c r="C162" s="1" t="s">
        <v>650</v>
      </c>
      <c r="D162" s="1" t="s">
        <v>28</v>
      </c>
      <c r="E162" s="12">
        <v>859020.45200000005</v>
      </c>
      <c r="F162" s="12">
        <v>72841.44230990026</v>
      </c>
      <c r="G162" s="2">
        <f t="shared" si="2"/>
        <v>8.4795934881769561</v>
      </c>
      <c r="H162" s="30">
        <v>5.3200064187054807E-2</v>
      </c>
    </row>
    <row r="163" spans="1:8" ht="14.1" customHeight="1">
      <c r="A163" s="29" t="s">
        <v>253</v>
      </c>
      <c r="B163" s="1" t="s">
        <v>651</v>
      </c>
      <c r="C163" s="1" t="s">
        <v>652</v>
      </c>
      <c r="D163" s="1" t="s">
        <v>7</v>
      </c>
      <c r="E163" s="12">
        <v>5634726.8320000004</v>
      </c>
      <c r="F163" s="12">
        <v>797938.06900895992</v>
      </c>
      <c r="G163" s="2">
        <f t="shared" si="2"/>
        <v>14.161078128533489</v>
      </c>
      <c r="H163" s="30">
        <v>0.58277753902741691</v>
      </c>
    </row>
    <row r="164" spans="1:8" ht="14.1" customHeight="1">
      <c r="A164" s="29" t="s">
        <v>209</v>
      </c>
      <c r="B164" s="1" t="s">
        <v>208</v>
      </c>
      <c r="C164" s="1" t="s">
        <v>653</v>
      </c>
      <c r="D164" s="1" t="s">
        <v>313</v>
      </c>
      <c r="E164" s="12">
        <v>1088197.5789999999</v>
      </c>
      <c r="F164" s="12">
        <v>159336.69493679889</v>
      </c>
      <c r="G164" s="2">
        <f t="shared" si="2"/>
        <v>14.642257804251088</v>
      </c>
      <c r="H164" s="30">
        <v>0.11637224812115995</v>
      </c>
    </row>
    <row r="165" spans="1:8" ht="14.1" customHeight="1">
      <c r="A165" s="29" t="s">
        <v>155</v>
      </c>
      <c r="B165" s="1" t="s">
        <v>654</v>
      </c>
      <c r="C165" s="1" t="s">
        <v>655</v>
      </c>
      <c r="D165" s="1" t="s">
        <v>317</v>
      </c>
      <c r="E165" s="12">
        <v>2324666.7140000002</v>
      </c>
      <c r="F165" s="12">
        <v>0</v>
      </c>
      <c r="G165" s="2">
        <f t="shared" si="2"/>
        <v>0</v>
      </c>
      <c r="H165" s="30">
        <v>0</v>
      </c>
    </row>
    <row r="166" spans="1:8" ht="14.1" customHeight="1">
      <c r="A166" s="29" t="s">
        <v>221</v>
      </c>
      <c r="B166" s="1" t="s">
        <v>656</v>
      </c>
      <c r="C166" s="1" t="s">
        <v>657</v>
      </c>
      <c r="D166" s="1" t="s">
        <v>19</v>
      </c>
      <c r="E166" s="12">
        <v>1352702.344</v>
      </c>
      <c r="F166" s="12">
        <v>18295.252364600383</v>
      </c>
      <c r="G166" s="2">
        <f t="shared" si="2"/>
        <v>1.3524965374496596</v>
      </c>
      <c r="H166" s="30">
        <v>1.3362017132695065E-2</v>
      </c>
    </row>
    <row r="167" spans="1:8" ht="14.1" customHeight="1">
      <c r="A167" s="29" t="s">
        <v>275</v>
      </c>
      <c r="B167" s="1" t="s">
        <v>658</v>
      </c>
      <c r="C167" s="1" t="s">
        <v>659</v>
      </c>
      <c r="D167" s="1" t="s">
        <v>317</v>
      </c>
      <c r="E167" s="12">
        <v>36763.769999999997</v>
      </c>
      <c r="F167" s="12">
        <v>0</v>
      </c>
      <c r="G167" s="2">
        <f t="shared" si="2"/>
        <v>0</v>
      </c>
      <c r="H167" s="30">
        <v>0</v>
      </c>
    </row>
    <row r="168" spans="1:8" ht="14.1" customHeight="1">
      <c r="A168" s="29" t="s">
        <v>185</v>
      </c>
      <c r="B168" s="1" t="s">
        <v>660</v>
      </c>
      <c r="C168" s="1" t="s">
        <v>661</v>
      </c>
      <c r="D168" s="1" t="s">
        <v>19</v>
      </c>
      <c r="E168" s="12">
        <v>2257062.872</v>
      </c>
      <c r="F168" s="12">
        <v>233437.67387227493</v>
      </c>
      <c r="G168" s="2">
        <f t="shared" si="2"/>
        <v>10.342541927749851</v>
      </c>
      <c r="H168" s="30">
        <v>0.17049222036057729</v>
      </c>
    </row>
    <row r="169" spans="1:8" ht="14.1" customHeight="1">
      <c r="A169" s="29" t="s">
        <v>303</v>
      </c>
      <c r="B169" s="1" t="s">
        <v>662</v>
      </c>
      <c r="C169" s="1" t="s">
        <v>663</v>
      </c>
      <c r="D169" s="1" t="s">
        <v>28</v>
      </c>
      <c r="E169" s="12">
        <v>220919.951</v>
      </c>
      <c r="F169" s="12">
        <v>42872.467537835058</v>
      </c>
      <c r="G169" s="2">
        <f t="shared" si="2"/>
        <v>19.406335798904401</v>
      </c>
      <c r="H169" s="30">
        <v>3.131209312367296E-2</v>
      </c>
    </row>
    <row r="170" spans="1:8" ht="14.1" customHeight="1">
      <c r="A170" s="29" t="s">
        <v>179</v>
      </c>
      <c r="B170" s="1" t="s">
        <v>664</v>
      </c>
      <c r="C170" s="1" t="s">
        <v>665</v>
      </c>
      <c r="D170" s="1" t="s">
        <v>28</v>
      </c>
      <c r="E170" s="12">
        <v>661771.27899999998</v>
      </c>
      <c r="F170" s="12">
        <v>179889.45989354912</v>
      </c>
      <c r="G170" s="2">
        <f t="shared" si="2"/>
        <v>27.183026160545893</v>
      </c>
      <c r="H170" s="30">
        <v>0.13138304939372003</v>
      </c>
    </row>
    <row r="171" spans="1:8" ht="14.1" customHeight="1">
      <c r="A171" s="29" t="s">
        <v>297</v>
      </c>
      <c r="B171" s="1" t="s">
        <v>666</v>
      </c>
      <c r="C171" s="1" t="s">
        <v>667</v>
      </c>
      <c r="D171" s="1" t="s">
        <v>317</v>
      </c>
      <c r="E171" s="12">
        <v>170645.86900000001</v>
      </c>
      <c r="F171" s="12">
        <v>0</v>
      </c>
      <c r="G171" s="2">
        <f t="shared" si="2"/>
        <v>0</v>
      </c>
      <c r="H171" s="30">
        <v>0</v>
      </c>
    </row>
    <row r="172" spans="1:8" ht="14.1" customHeight="1">
      <c r="A172" s="29" t="s">
        <v>265</v>
      </c>
      <c r="B172" s="1" t="s">
        <v>668</v>
      </c>
      <c r="C172" s="1" t="s">
        <v>669</v>
      </c>
      <c r="D172" s="1" t="s">
        <v>324</v>
      </c>
      <c r="E172" s="12">
        <v>1415805.7050000001</v>
      </c>
      <c r="F172" s="12">
        <v>316435.58305546804</v>
      </c>
      <c r="G172" s="2">
        <f t="shared" si="2"/>
        <v>22.350212457680978</v>
      </c>
      <c r="H172" s="30">
        <v>0.2311101043002132</v>
      </c>
    </row>
    <row r="173" spans="1:8" ht="14.1" customHeight="1">
      <c r="A173" s="29" t="s">
        <v>265</v>
      </c>
      <c r="B173" s="1" t="s">
        <v>670</v>
      </c>
      <c r="C173" s="1" t="s">
        <v>671</v>
      </c>
      <c r="D173" s="1" t="s">
        <v>36</v>
      </c>
      <c r="E173" s="12">
        <v>1196333.6710000001</v>
      </c>
      <c r="F173" s="12">
        <v>283518.15240010491</v>
      </c>
      <c r="G173" s="2">
        <f t="shared" si="2"/>
        <v>23.698919396217921</v>
      </c>
      <c r="H173" s="30">
        <v>0.20706871565928253</v>
      </c>
    </row>
    <row r="174" spans="1:8" ht="14.1" customHeight="1">
      <c r="A174" s="29" t="s">
        <v>265</v>
      </c>
      <c r="B174" s="1" t="s">
        <v>672</v>
      </c>
      <c r="C174" s="1" t="s">
        <v>673</v>
      </c>
      <c r="D174" s="1" t="s">
        <v>10</v>
      </c>
      <c r="E174" s="12">
        <v>504377.10200000001</v>
      </c>
      <c r="F174" s="12">
        <v>20242.004791128104</v>
      </c>
      <c r="G174" s="2">
        <f t="shared" si="2"/>
        <v>4.0132679915211735</v>
      </c>
      <c r="H174" s="30">
        <v>1.4783836234065373E-2</v>
      </c>
    </row>
    <row r="175" spans="1:8" ht="14.1" customHeight="1">
      <c r="A175" s="29" t="s">
        <v>179</v>
      </c>
      <c r="B175" s="1" t="s">
        <v>674</v>
      </c>
      <c r="C175" s="1" t="s">
        <v>675</v>
      </c>
      <c r="D175" s="1" t="s">
        <v>28</v>
      </c>
      <c r="E175" s="12">
        <v>1607220.8160000001</v>
      </c>
      <c r="F175" s="12">
        <v>102520.0768152696</v>
      </c>
      <c r="G175" s="2">
        <f t="shared" si="2"/>
        <v>6.3787175847073883</v>
      </c>
      <c r="H175" s="30">
        <v>7.4875983973931276E-2</v>
      </c>
    </row>
    <row r="176" spans="1:8" ht="14.1" customHeight="1">
      <c r="A176" s="29" t="s">
        <v>207</v>
      </c>
      <c r="B176" s="1" t="s">
        <v>676</v>
      </c>
      <c r="C176" s="1" t="s">
        <v>677</v>
      </c>
      <c r="D176" s="1" t="s">
        <v>28</v>
      </c>
      <c r="E176" s="12">
        <v>2208467.8909999998</v>
      </c>
      <c r="F176" s="12">
        <v>229847.1464830123</v>
      </c>
      <c r="G176" s="2">
        <f t="shared" si="2"/>
        <v>10.407538521148114</v>
      </c>
      <c r="H176" s="30">
        <v>0.16786986306620247</v>
      </c>
    </row>
    <row r="177" spans="1:8" ht="14.1" customHeight="1">
      <c r="A177" s="29" t="s">
        <v>279</v>
      </c>
      <c r="B177" s="1" t="s">
        <v>678</v>
      </c>
      <c r="C177" s="1" t="s">
        <v>679</v>
      </c>
      <c r="D177" s="1" t="s">
        <v>10</v>
      </c>
      <c r="E177" s="12">
        <v>461514.734</v>
      </c>
      <c r="F177" s="12">
        <v>21830.995648997894</v>
      </c>
      <c r="G177" s="2">
        <f t="shared" si="2"/>
        <v>4.730292240030173</v>
      </c>
      <c r="H177" s="30">
        <v>1.5944362617819126E-2</v>
      </c>
    </row>
    <row r="178" spans="1:8" ht="14.1" customHeight="1">
      <c r="A178" s="29" t="s">
        <v>279</v>
      </c>
      <c r="B178" s="1" t="s">
        <v>680</v>
      </c>
      <c r="C178" s="1" t="s">
        <v>681</v>
      </c>
      <c r="D178" s="1" t="s">
        <v>10</v>
      </c>
      <c r="E178" s="12">
        <v>122752.049</v>
      </c>
      <c r="F178" s="12">
        <v>10023.281455821021</v>
      </c>
      <c r="G178" s="2">
        <f t="shared" si="2"/>
        <v>8.1654697721754701</v>
      </c>
      <c r="H178" s="30">
        <v>7.3205472036914779E-3</v>
      </c>
    </row>
    <row r="179" spans="1:8" ht="14.1" customHeight="1">
      <c r="A179" s="29" t="s">
        <v>143</v>
      </c>
      <c r="B179" s="1" t="s">
        <v>682</v>
      </c>
      <c r="C179" s="1" t="s">
        <v>683</v>
      </c>
      <c r="D179" s="1" t="s">
        <v>28</v>
      </c>
      <c r="E179" s="12">
        <v>1219008.298</v>
      </c>
      <c r="F179" s="12">
        <v>16452.052836248702</v>
      </c>
      <c r="G179" s="2">
        <f t="shared" si="2"/>
        <v>1.3496259921479798</v>
      </c>
      <c r="H179" s="30">
        <v>1.2015828340871393E-2</v>
      </c>
    </row>
    <row r="180" spans="1:8" ht="14.1" customHeight="1">
      <c r="A180" s="29" t="s">
        <v>245</v>
      </c>
      <c r="B180" s="1" t="s">
        <v>684</v>
      </c>
      <c r="C180" s="1" t="s">
        <v>685</v>
      </c>
      <c r="D180" s="1" t="s">
        <v>324</v>
      </c>
      <c r="E180" s="12">
        <v>4640857.0120000001</v>
      </c>
      <c r="F180" s="12">
        <v>212449.31706081715</v>
      </c>
      <c r="G180" s="2">
        <f t="shared" si="2"/>
        <v>4.5778035503244485</v>
      </c>
      <c r="H180" s="30">
        <v>0.15516328268249122</v>
      </c>
    </row>
    <row r="181" spans="1:8" ht="14.1" customHeight="1">
      <c r="A181" s="29" t="s">
        <v>303</v>
      </c>
      <c r="B181" s="1" t="s">
        <v>686</v>
      </c>
      <c r="C181" s="1" t="s">
        <v>687</v>
      </c>
      <c r="D181" s="1" t="s">
        <v>28</v>
      </c>
      <c r="E181" s="12">
        <v>195200.326</v>
      </c>
      <c r="F181" s="12">
        <v>38983.599451507893</v>
      </c>
      <c r="G181" s="2">
        <f t="shared" si="2"/>
        <v>19.971072923058486</v>
      </c>
      <c r="H181" s="30">
        <v>2.8471841403678189E-2</v>
      </c>
    </row>
    <row r="182" spans="1:8" ht="14.1" customHeight="1">
      <c r="A182" s="29" t="s">
        <v>235</v>
      </c>
      <c r="B182" s="1" t="s">
        <v>688</v>
      </c>
      <c r="C182" s="1" t="s">
        <v>689</v>
      </c>
      <c r="D182" s="1" t="s">
        <v>10</v>
      </c>
      <c r="E182" s="12">
        <v>230853.95300000001</v>
      </c>
      <c r="F182" s="12">
        <v>1667.9682986970001</v>
      </c>
      <c r="G182" s="2">
        <f t="shared" si="2"/>
        <v>0.72252100387338836</v>
      </c>
      <c r="H182" s="30">
        <v>1.2182079011441051E-3</v>
      </c>
    </row>
    <row r="183" spans="1:8" ht="14.1" customHeight="1">
      <c r="A183" s="29" t="s">
        <v>141</v>
      </c>
      <c r="B183" s="1" t="s">
        <v>690</v>
      </c>
      <c r="C183" s="1" t="s">
        <v>691</v>
      </c>
      <c r="D183" s="1" t="s">
        <v>28</v>
      </c>
      <c r="E183" s="12">
        <v>2693397.4640000002</v>
      </c>
      <c r="F183" s="12">
        <v>37424.964091456895</v>
      </c>
      <c r="G183" s="2">
        <f t="shared" si="2"/>
        <v>1.3895076605543613</v>
      </c>
      <c r="H183" s="30">
        <v>2.7333485289776031E-2</v>
      </c>
    </row>
    <row r="184" spans="1:8" ht="14.1" customHeight="1">
      <c r="A184" s="29" t="s">
        <v>149</v>
      </c>
      <c r="B184" s="1" t="s">
        <v>692</v>
      </c>
      <c r="C184" s="1" t="s">
        <v>693</v>
      </c>
      <c r="D184" s="1" t="s">
        <v>28</v>
      </c>
      <c r="E184" s="12">
        <v>1444222.8259999999</v>
      </c>
      <c r="F184" s="12">
        <v>537655.63471524452</v>
      </c>
      <c r="G184" s="2">
        <f t="shared" si="2"/>
        <v>37.228024999740903</v>
      </c>
      <c r="H184" s="30">
        <v>0.39267913114201308</v>
      </c>
    </row>
    <row r="185" spans="1:8" ht="14.1" customHeight="1">
      <c r="A185" s="29" t="s">
        <v>177</v>
      </c>
      <c r="B185" s="1" t="s">
        <v>694</v>
      </c>
      <c r="C185" s="1" t="s">
        <v>695</v>
      </c>
      <c r="D185" s="1" t="s">
        <v>28</v>
      </c>
      <c r="E185" s="12">
        <v>1486925.8629999999</v>
      </c>
      <c r="F185" s="12">
        <v>35277.681793439995</v>
      </c>
      <c r="G185" s="2">
        <f t="shared" si="2"/>
        <v>2.3725245939474249</v>
      </c>
      <c r="H185" s="30">
        <v>2.5765208324635552E-2</v>
      </c>
    </row>
    <row r="186" spans="1:8" ht="14.1" customHeight="1">
      <c r="A186" s="29" t="s">
        <v>279</v>
      </c>
      <c r="B186" s="1" t="s">
        <v>696</v>
      </c>
      <c r="C186" s="1" t="s">
        <v>697</v>
      </c>
      <c r="D186" s="1" t="s">
        <v>10</v>
      </c>
      <c r="E186" s="12">
        <v>135981.035</v>
      </c>
      <c r="F186" s="12">
        <v>48540.060890430279</v>
      </c>
      <c r="G186" s="2">
        <f t="shared" si="2"/>
        <v>35.696199025423127</v>
      </c>
      <c r="H186" s="30">
        <v>3.5451444577772467E-2</v>
      </c>
    </row>
    <row r="187" spans="1:8" ht="14.1" customHeight="1">
      <c r="A187" s="29" t="s">
        <v>265</v>
      </c>
      <c r="B187" s="1" t="s">
        <v>698</v>
      </c>
      <c r="C187" s="1" t="s">
        <v>699</v>
      </c>
      <c r="D187" s="1" t="s">
        <v>10</v>
      </c>
      <c r="E187" s="12">
        <v>131309.848</v>
      </c>
      <c r="F187" s="12">
        <v>114886.93513488511</v>
      </c>
      <c r="G187" s="2">
        <f t="shared" si="2"/>
        <v>87.493007481727574</v>
      </c>
      <c r="H187" s="30">
        <v>8.3908172732587105E-2</v>
      </c>
    </row>
    <row r="188" spans="1:8" ht="14.1" customHeight="1">
      <c r="A188" s="29" t="s">
        <v>215</v>
      </c>
      <c r="B188" s="1" t="s">
        <v>700</v>
      </c>
      <c r="C188" s="1" t="s">
        <v>701</v>
      </c>
      <c r="D188" s="1" t="s">
        <v>31</v>
      </c>
      <c r="E188" s="12">
        <v>441685.00699999998</v>
      </c>
      <c r="F188" s="12">
        <v>148885.95287950378</v>
      </c>
      <c r="G188" s="2">
        <f t="shared" si="2"/>
        <v>33.708627306768371</v>
      </c>
      <c r="H188" s="30">
        <v>0.10873950320810533</v>
      </c>
    </row>
    <row r="189" spans="1:8" ht="14.1" customHeight="1">
      <c r="A189" s="29" t="s">
        <v>235</v>
      </c>
      <c r="B189" s="1" t="s">
        <v>702</v>
      </c>
      <c r="C189" s="1" t="s">
        <v>703</v>
      </c>
      <c r="D189" s="1" t="s">
        <v>10</v>
      </c>
      <c r="E189" s="12">
        <v>78307.331999999995</v>
      </c>
      <c r="F189" s="12">
        <v>37321.4736717095</v>
      </c>
      <c r="G189" s="2">
        <f t="shared" si="2"/>
        <v>47.660254434041377</v>
      </c>
      <c r="H189" s="30">
        <v>2.7257900611621484E-2</v>
      </c>
    </row>
    <row r="190" spans="1:8" ht="14.1" customHeight="1">
      <c r="A190" s="29" t="s">
        <v>243</v>
      </c>
      <c r="B190" s="1" t="s">
        <v>704</v>
      </c>
      <c r="C190" s="1" t="s">
        <v>705</v>
      </c>
      <c r="D190" s="1" t="s">
        <v>10</v>
      </c>
      <c r="E190" s="12">
        <v>602422.821</v>
      </c>
      <c r="F190" s="12">
        <v>97074.092622080891</v>
      </c>
      <c r="G190" s="2">
        <f t="shared" si="2"/>
        <v>16.113946756024518</v>
      </c>
      <c r="H190" s="30">
        <v>7.0898485733208685E-2</v>
      </c>
    </row>
    <row r="191" spans="1:8" ht="14.1" customHeight="1">
      <c r="A191" s="29" t="s">
        <v>207</v>
      </c>
      <c r="B191" s="1" t="s">
        <v>706</v>
      </c>
      <c r="C191" s="1" t="s">
        <v>707</v>
      </c>
      <c r="D191" s="1" t="s">
        <v>28</v>
      </c>
      <c r="E191" s="12">
        <v>1057365.993</v>
      </c>
      <c r="F191" s="12">
        <v>220026.59664985721</v>
      </c>
      <c r="G191" s="2">
        <f t="shared" si="2"/>
        <v>20.80893447552528</v>
      </c>
      <c r="H191" s="30">
        <v>0.16069738178482876</v>
      </c>
    </row>
    <row r="192" spans="1:8" ht="14.1" customHeight="1">
      <c r="A192" s="29" t="s">
        <v>137</v>
      </c>
      <c r="B192" s="1" t="s">
        <v>708</v>
      </c>
      <c r="C192" s="1" t="s">
        <v>709</v>
      </c>
      <c r="D192" s="1" t="s">
        <v>7</v>
      </c>
      <c r="E192" s="12">
        <v>2992929.3939999999</v>
      </c>
      <c r="F192" s="12">
        <v>50045.199928282243</v>
      </c>
      <c r="G192" s="2">
        <f t="shared" si="2"/>
        <v>1.6721142847074544</v>
      </c>
      <c r="H192" s="30">
        <v>3.6550729420094748E-2</v>
      </c>
    </row>
    <row r="193" spans="1:8" ht="14.1" customHeight="1">
      <c r="A193" s="29" t="s">
        <v>297</v>
      </c>
      <c r="B193" s="1" t="s">
        <v>710</v>
      </c>
      <c r="C193" s="1" t="s">
        <v>711</v>
      </c>
      <c r="D193" s="1" t="s">
        <v>319</v>
      </c>
      <c r="E193" s="12">
        <v>6441592.2560000001</v>
      </c>
      <c r="F193" s="12">
        <v>1295273.5999305143</v>
      </c>
      <c r="G193" s="2">
        <f t="shared" si="2"/>
        <v>20.107972508257347</v>
      </c>
      <c r="H193" s="30">
        <v>0.94600870700682405</v>
      </c>
    </row>
    <row r="194" spans="1:8" ht="14.1" customHeight="1">
      <c r="A194" s="29" t="s">
        <v>279</v>
      </c>
      <c r="B194" s="1" t="s">
        <v>712</v>
      </c>
      <c r="C194" s="1" t="s">
        <v>713</v>
      </c>
      <c r="D194" s="1" t="s">
        <v>10</v>
      </c>
      <c r="E194" s="12">
        <v>437384.054</v>
      </c>
      <c r="F194" s="12">
        <v>193670.22163834999</v>
      </c>
      <c r="G194" s="2">
        <f t="shared" si="2"/>
        <v>44.279214083636894</v>
      </c>
      <c r="H194" s="30">
        <v>0.14144788866819266</v>
      </c>
    </row>
    <row r="195" spans="1:8" ht="14.1" customHeight="1">
      <c r="A195" s="29" t="s">
        <v>229</v>
      </c>
      <c r="B195" s="1" t="s">
        <v>714</v>
      </c>
      <c r="C195" s="1" t="s">
        <v>715</v>
      </c>
      <c r="D195" s="1" t="s">
        <v>317</v>
      </c>
      <c r="E195" s="12">
        <v>399575.70500000002</v>
      </c>
      <c r="F195" s="12">
        <v>0</v>
      </c>
      <c r="G195" s="2">
        <f t="shared" si="2"/>
        <v>0</v>
      </c>
      <c r="H195" s="30">
        <v>0</v>
      </c>
    </row>
    <row r="196" spans="1:8" ht="14.1" customHeight="1">
      <c r="A196" s="29" t="s">
        <v>179</v>
      </c>
      <c r="B196" s="1" t="s">
        <v>716</v>
      </c>
      <c r="C196" s="1" t="s">
        <v>717</v>
      </c>
      <c r="D196" s="1" t="s">
        <v>28</v>
      </c>
      <c r="E196" s="12">
        <v>2929528.4589999998</v>
      </c>
      <c r="F196" s="12">
        <v>155142.03738216942</v>
      </c>
      <c r="G196" s="2">
        <f t="shared" ref="G196:G259" si="3">F196/E196*100</f>
        <v>5.2958023638769305</v>
      </c>
      <c r="H196" s="30">
        <v>0.11330866173307616</v>
      </c>
    </row>
    <row r="197" spans="1:8" ht="14.1" customHeight="1">
      <c r="A197" s="29" t="s">
        <v>217</v>
      </c>
      <c r="B197" s="1" t="s">
        <v>216</v>
      </c>
      <c r="C197" s="1" t="s">
        <v>718</v>
      </c>
      <c r="D197" s="1" t="s">
        <v>58</v>
      </c>
      <c r="E197" s="12">
        <v>425566.53600000002</v>
      </c>
      <c r="F197" s="12">
        <v>83936.369522254245</v>
      </c>
      <c r="G197" s="2">
        <f t="shared" si="3"/>
        <v>19.723442146366093</v>
      </c>
      <c r="H197" s="30">
        <v>6.1303292529743862E-2</v>
      </c>
    </row>
    <row r="198" spans="1:8" ht="14.1" customHeight="1">
      <c r="A198" s="29" t="s">
        <v>193</v>
      </c>
      <c r="B198" s="1" t="s">
        <v>719</v>
      </c>
      <c r="C198" s="1" t="s">
        <v>720</v>
      </c>
      <c r="D198" s="1" t="s">
        <v>31</v>
      </c>
      <c r="E198" s="12">
        <v>1922414.2450000001</v>
      </c>
      <c r="F198" s="12">
        <v>156990.99278839381</v>
      </c>
      <c r="G198" s="2">
        <f t="shared" si="3"/>
        <v>8.1663456872893594</v>
      </c>
      <c r="H198" s="30">
        <v>0.11465905435533714</v>
      </c>
    </row>
    <row r="199" spans="1:8" ht="14.1" customHeight="1">
      <c r="A199" s="29" t="s">
        <v>201</v>
      </c>
      <c r="B199" s="1" t="s">
        <v>721</v>
      </c>
      <c r="C199" s="1" t="s">
        <v>722</v>
      </c>
      <c r="D199" s="1" t="s">
        <v>313</v>
      </c>
      <c r="E199" s="12">
        <v>4961542.4529999997</v>
      </c>
      <c r="F199" s="12">
        <v>3048256.1702139</v>
      </c>
      <c r="G199" s="2">
        <f t="shared" si="3"/>
        <v>61.437671834708787</v>
      </c>
      <c r="H199" s="30">
        <v>2.2263071511411345</v>
      </c>
    </row>
    <row r="200" spans="1:8" ht="14.1" customHeight="1">
      <c r="A200" s="29" t="s">
        <v>303</v>
      </c>
      <c r="B200" s="1" t="s">
        <v>723</v>
      </c>
      <c r="C200" s="1" t="s">
        <v>724</v>
      </c>
      <c r="D200" s="1" t="s">
        <v>28</v>
      </c>
      <c r="E200" s="12">
        <v>257594.459</v>
      </c>
      <c r="F200" s="12">
        <v>314552.44220675516</v>
      </c>
      <c r="G200" s="2">
        <f t="shared" si="3"/>
        <v>122.11149394589857</v>
      </c>
      <c r="H200" s="30">
        <v>0.2297347441913542</v>
      </c>
    </row>
    <row r="201" spans="1:8" ht="14.1" customHeight="1">
      <c r="A201" s="29" t="s">
        <v>265</v>
      </c>
      <c r="B201" s="1" t="s">
        <v>725</v>
      </c>
      <c r="C201" s="1" t="s">
        <v>726</v>
      </c>
      <c r="D201" s="1" t="s">
        <v>324</v>
      </c>
      <c r="E201" s="12">
        <v>479221.44</v>
      </c>
      <c r="F201" s="12">
        <v>140642.8060480174</v>
      </c>
      <c r="G201" s="2">
        <f t="shared" si="3"/>
        <v>29.348187353223885</v>
      </c>
      <c r="H201" s="30">
        <v>0.10271908506931197</v>
      </c>
    </row>
    <row r="202" spans="1:8" ht="14.1" customHeight="1">
      <c r="A202" s="29" t="s">
        <v>225</v>
      </c>
      <c r="B202" s="1" t="s">
        <v>727</v>
      </c>
      <c r="C202" s="1" t="s">
        <v>728</v>
      </c>
      <c r="D202" s="1" t="s">
        <v>28</v>
      </c>
      <c r="E202" s="12">
        <v>2293311.3560000001</v>
      </c>
      <c r="F202" s="12">
        <v>2100.8001801199998</v>
      </c>
      <c r="G202" s="2">
        <f t="shared" si="3"/>
        <v>9.1605536885502589E-2</v>
      </c>
      <c r="H202" s="30">
        <v>1.5343285481782675E-3</v>
      </c>
    </row>
    <row r="203" spans="1:8" ht="14.1" customHeight="1">
      <c r="A203" s="29" t="s">
        <v>257</v>
      </c>
      <c r="B203" s="1" t="s">
        <v>729</v>
      </c>
      <c r="C203" s="1" t="s">
        <v>730</v>
      </c>
      <c r="D203" s="1" t="s">
        <v>10</v>
      </c>
      <c r="E203" s="12">
        <v>2377522.835</v>
      </c>
      <c r="F203" s="12">
        <v>77375.945206378223</v>
      </c>
      <c r="G203" s="2">
        <f t="shared" si="3"/>
        <v>3.2544774782942612</v>
      </c>
      <c r="H203" s="30">
        <v>5.651185809858511E-2</v>
      </c>
    </row>
    <row r="204" spans="1:8" ht="14.1" customHeight="1">
      <c r="A204" s="29" t="s">
        <v>163</v>
      </c>
      <c r="B204" s="1" t="s">
        <v>731</v>
      </c>
      <c r="C204" s="1" t="s">
        <v>732</v>
      </c>
      <c r="D204" s="1" t="s">
        <v>10</v>
      </c>
      <c r="E204" s="12">
        <v>1140082.44</v>
      </c>
      <c r="F204" s="12">
        <v>14767.814632122001</v>
      </c>
      <c r="G204" s="2">
        <f t="shared" si="3"/>
        <v>1.2953286634361285</v>
      </c>
      <c r="H204" s="30">
        <v>1.0785737643536969E-2</v>
      </c>
    </row>
    <row r="205" spans="1:8" ht="14.1" customHeight="1">
      <c r="A205" s="29" t="s">
        <v>199</v>
      </c>
      <c r="B205" s="1" t="s">
        <v>733</v>
      </c>
      <c r="C205" s="1" t="s">
        <v>734</v>
      </c>
      <c r="D205" s="1" t="s">
        <v>19</v>
      </c>
      <c r="E205" s="12">
        <v>289541.08600000001</v>
      </c>
      <c r="F205" s="12">
        <v>137833.98873330001</v>
      </c>
      <c r="G205" s="2">
        <f t="shared" si="3"/>
        <v>47.604293621147782</v>
      </c>
      <c r="H205" s="30">
        <v>0.10066765312763053</v>
      </c>
    </row>
    <row r="206" spans="1:8" ht="14.1" customHeight="1">
      <c r="A206" s="29" t="s">
        <v>199</v>
      </c>
      <c r="B206" s="1" t="s">
        <v>735</v>
      </c>
      <c r="C206" s="1" t="s">
        <v>736</v>
      </c>
      <c r="D206" s="1" t="s">
        <v>317</v>
      </c>
      <c r="E206" s="12">
        <v>82932.096999999994</v>
      </c>
      <c r="F206" s="12">
        <v>0</v>
      </c>
      <c r="G206" s="2">
        <f t="shared" si="3"/>
        <v>0</v>
      </c>
      <c r="H206" s="30">
        <v>0</v>
      </c>
    </row>
    <row r="207" spans="1:8" ht="14.1" customHeight="1">
      <c r="A207" s="29" t="s">
        <v>161</v>
      </c>
      <c r="B207" s="1" t="s">
        <v>737</v>
      </c>
      <c r="C207" s="1" t="s">
        <v>738</v>
      </c>
      <c r="D207" s="1" t="s">
        <v>31</v>
      </c>
      <c r="E207" s="12">
        <v>1204026.76</v>
      </c>
      <c r="F207" s="12">
        <v>186133.52971500001</v>
      </c>
      <c r="G207" s="2">
        <f t="shared" si="3"/>
        <v>15.459251895281797</v>
      </c>
      <c r="H207" s="30">
        <v>0.1359434329440124</v>
      </c>
    </row>
    <row r="208" spans="1:8" ht="14.1" customHeight="1">
      <c r="A208" s="29" t="s">
        <v>229</v>
      </c>
      <c r="B208" s="1" t="s">
        <v>739</v>
      </c>
      <c r="C208" s="1" t="s">
        <v>740</v>
      </c>
      <c r="D208" s="1" t="s">
        <v>28</v>
      </c>
      <c r="E208" s="12">
        <v>1290483.9620000001</v>
      </c>
      <c r="F208" s="12">
        <v>28812.062298929999</v>
      </c>
      <c r="G208" s="2">
        <f t="shared" si="3"/>
        <v>2.2326555887046351</v>
      </c>
      <c r="H208" s="30">
        <v>2.1043015007078829E-2</v>
      </c>
    </row>
    <row r="209" spans="1:8" ht="14.1" customHeight="1">
      <c r="A209" s="29" t="s">
        <v>197</v>
      </c>
      <c r="B209" s="1" t="s">
        <v>741</v>
      </c>
      <c r="C209" s="1" t="s">
        <v>742</v>
      </c>
      <c r="D209" s="1" t="s">
        <v>7</v>
      </c>
      <c r="E209" s="12">
        <v>12714804.851</v>
      </c>
      <c r="F209" s="12">
        <v>6213228.3888580101</v>
      </c>
      <c r="G209" s="2">
        <f t="shared" si="3"/>
        <v>48.866093201338821</v>
      </c>
      <c r="H209" s="30">
        <v>4.5378583758651256</v>
      </c>
    </row>
    <row r="210" spans="1:8" ht="14.1" customHeight="1">
      <c r="A210" s="29" t="s">
        <v>149</v>
      </c>
      <c r="B210" s="1" t="s">
        <v>743</v>
      </c>
      <c r="C210" s="1" t="s">
        <v>744</v>
      </c>
      <c r="D210" s="1" t="s">
        <v>28</v>
      </c>
      <c r="E210" s="12">
        <v>1791227.629</v>
      </c>
      <c r="F210" s="12">
        <v>847160.79971749708</v>
      </c>
      <c r="G210" s="2">
        <f t="shared" si="3"/>
        <v>47.294982837577543</v>
      </c>
      <c r="H210" s="30">
        <v>0.61872757447585525</v>
      </c>
    </row>
    <row r="211" spans="1:8" ht="14.1" customHeight="1">
      <c r="A211" s="29" t="s">
        <v>195</v>
      </c>
      <c r="B211" s="1" t="s">
        <v>745</v>
      </c>
      <c r="C211" s="1" t="s">
        <v>746</v>
      </c>
      <c r="D211" s="1" t="s">
        <v>7</v>
      </c>
      <c r="E211" s="12">
        <v>1172152.2490000001</v>
      </c>
      <c r="F211" s="12">
        <v>210528.18435296699</v>
      </c>
      <c r="G211" s="2">
        <f t="shared" si="3"/>
        <v>17.960822455664371</v>
      </c>
      <c r="H211" s="30">
        <v>0.15376017505408024</v>
      </c>
    </row>
    <row r="212" spans="1:8" ht="14.1" customHeight="1">
      <c r="A212" s="29" t="s">
        <v>203</v>
      </c>
      <c r="B212" s="1" t="s">
        <v>747</v>
      </c>
      <c r="C212" s="1" t="s">
        <v>748</v>
      </c>
      <c r="D212" s="1" t="s">
        <v>19</v>
      </c>
      <c r="E212" s="12">
        <v>2644171.199</v>
      </c>
      <c r="F212" s="12">
        <v>502748.46174249996</v>
      </c>
      <c r="G212" s="2">
        <f t="shared" si="3"/>
        <v>19.013461077430787</v>
      </c>
      <c r="H212" s="30">
        <v>0.36718452554595893</v>
      </c>
    </row>
    <row r="213" spans="1:8" ht="14.1" customHeight="1">
      <c r="A213" s="29" t="s">
        <v>143</v>
      </c>
      <c r="B213" s="1" t="s">
        <v>749</v>
      </c>
      <c r="C213" s="1" t="s">
        <v>750</v>
      </c>
      <c r="D213" s="1" t="s">
        <v>10</v>
      </c>
      <c r="E213" s="12">
        <v>941752.18700000003</v>
      </c>
      <c r="F213" s="12">
        <v>12058.9855445219</v>
      </c>
      <c r="G213" s="2">
        <f t="shared" si="3"/>
        <v>1.2804839437576905</v>
      </c>
      <c r="H213" s="30">
        <v>8.8073325383912146E-3</v>
      </c>
    </row>
    <row r="214" spans="1:8" ht="14.1" customHeight="1">
      <c r="A214" s="29" t="s">
        <v>143</v>
      </c>
      <c r="B214" s="1" t="s">
        <v>751</v>
      </c>
      <c r="C214" s="1" t="s">
        <v>752</v>
      </c>
      <c r="D214" s="1" t="s">
        <v>10</v>
      </c>
      <c r="E214" s="12">
        <v>521960.22200000001</v>
      </c>
      <c r="F214" s="12">
        <v>21614.759962108681</v>
      </c>
      <c r="G214" s="2">
        <f t="shared" si="3"/>
        <v>4.1410741759759384</v>
      </c>
      <c r="H214" s="30">
        <v>1.5786433943465097E-2</v>
      </c>
    </row>
    <row r="215" spans="1:8" ht="14.1" customHeight="1">
      <c r="A215" s="29" t="s">
        <v>251</v>
      </c>
      <c r="B215" s="1" t="s">
        <v>753</v>
      </c>
      <c r="C215" s="1" t="s">
        <v>754</v>
      </c>
      <c r="D215" s="1" t="s">
        <v>10</v>
      </c>
      <c r="E215" s="12">
        <v>1908.9949999999999</v>
      </c>
      <c r="F215" s="12">
        <v>1325.5335558300001</v>
      </c>
      <c r="G215" s="2">
        <f t="shared" si="3"/>
        <v>69.4361984096344</v>
      </c>
      <c r="H215" s="30">
        <v>9.681091974021287E-4</v>
      </c>
    </row>
    <row r="216" spans="1:8" ht="14.1" customHeight="1">
      <c r="A216" s="29" t="s">
        <v>171</v>
      </c>
      <c r="B216" s="1" t="s">
        <v>755</v>
      </c>
      <c r="C216" s="1" t="s">
        <v>756</v>
      </c>
      <c r="D216" s="1" t="s">
        <v>10</v>
      </c>
      <c r="E216" s="12">
        <v>276572.97700000001</v>
      </c>
      <c r="F216" s="12">
        <v>51511.002727669998</v>
      </c>
      <c r="G216" s="2">
        <f t="shared" si="3"/>
        <v>18.624741754025376</v>
      </c>
      <c r="H216" s="30">
        <v>3.7621284869576756E-2</v>
      </c>
    </row>
    <row r="217" spans="1:8" ht="14.1" customHeight="1">
      <c r="A217" s="29" t="s">
        <v>233</v>
      </c>
      <c r="B217" s="1" t="s">
        <v>757</v>
      </c>
      <c r="C217" s="1" t="s">
        <v>758</v>
      </c>
      <c r="D217" s="1" t="s">
        <v>323</v>
      </c>
      <c r="E217" s="12">
        <v>2391719.142</v>
      </c>
      <c r="F217" s="12">
        <v>1321785.4851800902</v>
      </c>
      <c r="G217" s="2">
        <f t="shared" si="3"/>
        <v>55.26507949736893</v>
      </c>
      <c r="H217" s="30">
        <v>0.96537177770216598</v>
      </c>
    </row>
    <row r="218" spans="1:8" ht="14.1" customHeight="1">
      <c r="A218" s="29" t="s">
        <v>245</v>
      </c>
      <c r="B218" s="1" t="s">
        <v>759</v>
      </c>
      <c r="C218" s="1" t="s">
        <v>760</v>
      </c>
      <c r="D218" s="1" t="s">
        <v>10</v>
      </c>
      <c r="E218" s="12">
        <v>3938809.037</v>
      </c>
      <c r="F218" s="12">
        <v>24579.054989169344</v>
      </c>
      <c r="G218" s="2">
        <f t="shared" si="3"/>
        <v>0.62402250929864878</v>
      </c>
      <c r="H218" s="30">
        <v>1.7951419708547356E-2</v>
      </c>
    </row>
    <row r="219" spans="1:8" ht="14.1" customHeight="1">
      <c r="A219" s="29" t="s">
        <v>237</v>
      </c>
      <c r="B219" s="1" t="s">
        <v>761</v>
      </c>
      <c r="C219" s="1" t="s">
        <v>762</v>
      </c>
      <c r="D219" s="1" t="s">
        <v>31</v>
      </c>
      <c r="E219" s="12">
        <v>731655.88600000006</v>
      </c>
      <c r="F219" s="12">
        <v>30353.481988229134</v>
      </c>
      <c r="G219" s="2">
        <f t="shared" si="3"/>
        <v>4.1486008066132243</v>
      </c>
      <c r="H219" s="30">
        <v>2.2168797580974384E-2</v>
      </c>
    </row>
    <row r="220" spans="1:8" ht="14.1" customHeight="1">
      <c r="A220" s="29" t="s">
        <v>303</v>
      </c>
      <c r="B220" s="1" t="s">
        <v>763</v>
      </c>
      <c r="C220" s="1" t="s">
        <v>764</v>
      </c>
      <c r="D220" s="1" t="s">
        <v>28</v>
      </c>
      <c r="E220" s="12">
        <v>112651.859</v>
      </c>
      <c r="F220" s="12">
        <v>56464.630127351964</v>
      </c>
      <c r="G220" s="2">
        <f t="shared" si="3"/>
        <v>50.123123247661596</v>
      </c>
      <c r="H220" s="30">
        <v>4.1239188184843976E-2</v>
      </c>
    </row>
    <row r="221" spans="1:8" ht="14.1" customHeight="1">
      <c r="A221" s="29" t="s">
        <v>199</v>
      </c>
      <c r="B221" s="1" t="s">
        <v>765</v>
      </c>
      <c r="C221" s="1" t="s">
        <v>766</v>
      </c>
      <c r="D221" s="1" t="s">
        <v>319</v>
      </c>
      <c r="E221" s="12">
        <v>25698395.159000002</v>
      </c>
      <c r="F221" s="12">
        <v>6562035.032662699</v>
      </c>
      <c r="G221" s="2">
        <f t="shared" si="3"/>
        <v>25.534804769178614</v>
      </c>
      <c r="H221" s="30">
        <v>4.792610825169092</v>
      </c>
    </row>
    <row r="222" spans="1:8" ht="14.1" customHeight="1">
      <c r="A222" s="29" t="s">
        <v>243</v>
      </c>
      <c r="B222" s="1" t="s">
        <v>767</v>
      </c>
      <c r="C222" s="1" t="s">
        <v>768</v>
      </c>
      <c r="D222" s="1" t="s">
        <v>10</v>
      </c>
      <c r="E222" s="12">
        <v>153349.147</v>
      </c>
      <c r="F222" s="12">
        <v>109441.87903625338</v>
      </c>
      <c r="G222" s="2">
        <f t="shared" si="3"/>
        <v>71.367778156766263</v>
      </c>
      <c r="H222" s="30">
        <v>7.9931352329760577E-2</v>
      </c>
    </row>
    <row r="223" spans="1:8" ht="14.1" customHeight="1">
      <c r="A223" s="29" t="s">
        <v>243</v>
      </c>
      <c r="B223" s="1" t="s">
        <v>769</v>
      </c>
      <c r="C223" s="1" t="s">
        <v>770</v>
      </c>
      <c r="D223" s="1" t="s">
        <v>10</v>
      </c>
      <c r="E223" s="12">
        <v>729170.48600000003</v>
      </c>
      <c r="F223" s="12">
        <v>100147.77391565868</v>
      </c>
      <c r="G223" s="2">
        <f t="shared" si="3"/>
        <v>13.734479910869387</v>
      </c>
      <c r="H223" s="30">
        <v>7.3143362233775489E-2</v>
      </c>
    </row>
    <row r="224" spans="1:8" ht="14.1" customHeight="1">
      <c r="A224" s="29" t="s">
        <v>275</v>
      </c>
      <c r="B224" s="1" t="s">
        <v>771</v>
      </c>
      <c r="C224" s="1" t="s">
        <v>772</v>
      </c>
      <c r="D224" s="1" t="s">
        <v>58</v>
      </c>
      <c r="E224" s="12">
        <v>12400.066999999999</v>
      </c>
      <c r="F224" s="12">
        <v>12400.0672958</v>
      </c>
      <c r="G224" s="2">
        <f t="shared" si="3"/>
        <v>100.00000238547098</v>
      </c>
      <c r="H224" s="30">
        <v>9.0564430788419182E-3</v>
      </c>
    </row>
    <row r="225" spans="1:8" ht="14.1" customHeight="1">
      <c r="A225" s="29" t="s">
        <v>271</v>
      </c>
      <c r="B225" s="1" t="s">
        <v>773</v>
      </c>
      <c r="C225" s="1" t="s">
        <v>774</v>
      </c>
      <c r="D225" s="1" t="s">
        <v>31</v>
      </c>
      <c r="E225" s="12">
        <v>693281.97100000002</v>
      </c>
      <c r="F225" s="12">
        <v>23138.857947304001</v>
      </c>
      <c r="G225" s="2">
        <f t="shared" si="3"/>
        <v>3.3375825299377362</v>
      </c>
      <c r="H225" s="30">
        <v>1.6899565535434296E-2</v>
      </c>
    </row>
    <row r="226" spans="1:8" ht="14.1" customHeight="1">
      <c r="A226" s="29" t="s">
        <v>133</v>
      </c>
      <c r="B226" s="1" t="s">
        <v>775</v>
      </c>
      <c r="C226" s="1" t="s">
        <v>776</v>
      </c>
      <c r="D226" s="1" t="s">
        <v>19</v>
      </c>
      <c r="E226" s="12">
        <v>1267401.196</v>
      </c>
      <c r="F226" s="12">
        <v>763115.87598150002</v>
      </c>
      <c r="G226" s="2">
        <f t="shared" si="3"/>
        <v>60.21107431411167</v>
      </c>
      <c r="H226" s="30">
        <v>0.55734499890398925</v>
      </c>
    </row>
    <row r="227" spans="1:8" ht="14.1" customHeight="1">
      <c r="A227" s="29" t="s">
        <v>157</v>
      </c>
      <c r="B227" s="1" t="s">
        <v>777</v>
      </c>
      <c r="C227" s="1" t="s">
        <v>778</v>
      </c>
      <c r="D227" s="1" t="s">
        <v>28</v>
      </c>
      <c r="E227" s="12">
        <v>67884.884999999995</v>
      </c>
      <c r="F227" s="12">
        <v>12119.188887644999</v>
      </c>
      <c r="G227" s="2">
        <f t="shared" si="3"/>
        <v>17.852558618380218</v>
      </c>
      <c r="H227" s="30">
        <v>8.8513023118726077E-3</v>
      </c>
    </row>
    <row r="228" spans="1:8" ht="14.1" customHeight="1">
      <c r="A228" s="29" t="s">
        <v>131</v>
      </c>
      <c r="B228" s="1" t="s">
        <v>779</v>
      </c>
      <c r="C228" s="1" t="s">
        <v>780</v>
      </c>
      <c r="D228" s="1" t="s">
        <v>19</v>
      </c>
      <c r="E228" s="12">
        <v>1741375.6310000001</v>
      </c>
      <c r="F228" s="12">
        <v>508885.99976272997</v>
      </c>
      <c r="G228" s="2">
        <f t="shared" si="3"/>
        <v>29.223218167495418</v>
      </c>
      <c r="H228" s="30">
        <v>0.37166710313191026</v>
      </c>
    </row>
    <row r="229" spans="1:8" ht="14.1" customHeight="1">
      <c r="A229" s="29" t="s">
        <v>159</v>
      </c>
      <c r="B229" s="1" t="s">
        <v>781</v>
      </c>
      <c r="C229" s="1" t="s">
        <v>782</v>
      </c>
      <c r="D229" s="1" t="s">
        <v>313</v>
      </c>
      <c r="E229" s="12">
        <v>9214685.3479999993</v>
      </c>
      <c r="F229" s="12">
        <v>5319026.5926670004</v>
      </c>
      <c r="G229" s="2">
        <f t="shared" si="3"/>
        <v>57.723366471992101</v>
      </c>
      <c r="H229" s="30">
        <v>3.8847742050280019</v>
      </c>
    </row>
    <row r="230" spans="1:8" ht="14.1" customHeight="1">
      <c r="A230" s="29" t="s">
        <v>201</v>
      </c>
      <c r="B230" s="1" t="s">
        <v>783</v>
      </c>
      <c r="C230" s="1" t="s">
        <v>784</v>
      </c>
      <c r="D230" s="1" t="s">
        <v>313</v>
      </c>
      <c r="E230" s="12">
        <v>11460762.356000001</v>
      </c>
      <c r="F230" s="12">
        <v>3531105.0453019999</v>
      </c>
      <c r="G230" s="2">
        <f t="shared" si="3"/>
        <v>30.810385344508752</v>
      </c>
      <c r="H230" s="30">
        <v>2.5789579270284042</v>
      </c>
    </row>
    <row r="231" spans="1:8" ht="14.1" customHeight="1">
      <c r="A231" s="29" t="s">
        <v>165</v>
      </c>
      <c r="B231" s="1" t="s">
        <v>785</v>
      </c>
      <c r="C231" s="1" t="s">
        <v>786</v>
      </c>
      <c r="D231" s="1" t="s">
        <v>7</v>
      </c>
      <c r="E231" s="12">
        <v>1843124.821</v>
      </c>
      <c r="F231" s="12">
        <v>235834.98970839003</v>
      </c>
      <c r="G231" s="2">
        <f t="shared" si="3"/>
        <v>12.795388951489251</v>
      </c>
      <c r="H231" s="30">
        <v>0.17224311040769313</v>
      </c>
    </row>
    <row r="232" spans="1:8" ht="14.1" customHeight="1">
      <c r="A232" s="29" t="s">
        <v>141</v>
      </c>
      <c r="B232" s="1" t="s">
        <v>787</v>
      </c>
      <c r="C232" s="1" t="s">
        <v>788</v>
      </c>
      <c r="D232" s="1" t="s">
        <v>28</v>
      </c>
      <c r="E232" s="12">
        <v>1250610.642</v>
      </c>
      <c r="F232" s="12">
        <v>38046.520494294171</v>
      </c>
      <c r="G232" s="2">
        <f t="shared" si="3"/>
        <v>3.0422354661439202</v>
      </c>
      <c r="H232" s="30">
        <v>2.7787441711810301E-2</v>
      </c>
    </row>
    <row r="233" spans="1:8" ht="14.1" customHeight="1">
      <c r="A233" s="29" t="s">
        <v>205</v>
      </c>
      <c r="B233" s="1" t="s">
        <v>789</v>
      </c>
      <c r="C233" s="1" t="s">
        <v>790</v>
      </c>
      <c r="D233" s="1" t="s">
        <v>320</v>
      </c>
      <c r="E233" s="12">
        <v>9330937.7870000005</v>
      </c>
      <c r="F233" s="12">
        <v>1093737.342466366</v>
      </c>
      <c r="G233" s="2">
        <f t="shared" si="3"/>
        <v>11.721622921869407</v>
      </c>
      <c r="H233" s="30">
        <v>0.79881582486294245</v>
      </c>
    </row>
    <row r="234" spans="1:8" ht="14.1" customHeight="1">
      <c r="A234" s="29" t="s">
        <v>221</v>
      </c>
      <c r="B234" s="1" t="s">
        <v>791</v>
      </c>
      <c r="C234" s="1" t="s">
        <v>792</v>
      </c>
      <c r="D234" s="1" t="s">
        <v>19</v>
      </c>
      <c r="E234" s="12">
        <v>1483958.9990000001</v>
      </c>
      <c r="F234" s="12">
        <v>399201.90212315298</v>
      </c>
      <c r="G234" s="2">
        <f t="shared" si="3"/>
        <v>26.901140960913633</v>
      </c>
      <c r="H234" s="30">
        <v>0.29155884539177501</v>
      </c>
    </row>
    <row r="235" spans="1:8" ht="14.1" customHeight="1">
      <c r="A235" s="29" t="s">
        <v>199</v>
      </c>
      <c r="B235" s="1" t="s">
        <v>793</v>
      </c>
      <c r="C235" s="1" t="s">
        <v>794</v>
      </c>
      <c r="D235" s="1" t="s">
        <v>7</v>
      </c>
      <c r="E235" s="12">
        <v>12316754.346999999</v>
      </c>
      <c r="F235" s="12">
        <v>2583409.5610194998</v>
      </c>
      <c r="G235" s="2">
        <f t="shared" si="3"/>
        <v>20.974759163307848</v>
      </c>
      <c r="H235" s="30">
        <v>1.8868044084433049</v>
      </c>
    </row>
    <row r="236" spans="1:8" ht="14.1" customHeight="1">
      <c r="A236" s="29" t="s">
        <v>171</v>
      </c>
      <c r="B236" s="1" t="s">
        <v>795</v>
      </c>
      <c r="C236" s="1" t="s">
        <v>796</v>
      </c>
      <c r="D236" s="1" t="s">
        <v>10</v>
      </c>
      <c r="E236" s="12">
        <v>653934.86800000002</v>
      </c>
      <c r="F236" s="12">
        <v>43999.0842844</v>
      </c>
      <c r="G236" s="2">
        <f t="shared" si="3"/>
        <v>6.728358807195459</v>
      </c>
      <c r="H236" s="30">
        <v>3.2134922564315709E-2</v>
      </c>
    </row>
    <row r="237" spans="1:8" ht="14.1" customHeight="1">
      <c r="A237" s="29" t="s">
        <v>137</v>
      </c>
      <c r="B237" s="1" t="s">
        <v>797</v>
      </c>
      <c r="C237" s="1" t="s">
        <v>798</v>
      </c>
      <c r="D237" s="1" t="s">
        <v>7</v>
      </c>
      <c r="E237" s="12">
        <v>6524174.9069999997</v>
      </c>
      <c r="F237" s="12">
        <v>220570.37760170663</v>
      </c>
      <c r="G237" s="2">
        <f t="shared" si="3"/>
        <v>3.3808164364975788</v>
      </c>
      <c r="H237" s="30">
        <v>0.16109453456797945</v>
      </c>
    </row>
    <row r="238" spans="1:8" ht="14.1" customHeight="1">
      <c r="A238" s="29" t="s">
        <v>241</v>
      </c>
      <c r="B238" s="1" t="s">
        <v>799</v>
      </c>
      <c r="C238" s="1" t="s">
        <v>800</v>
      </c>
      <c r="D238" s="1" t="s">
        <v>7</v>
      </c>
      <c r="E238" s="12">
        <v>5970915.4129999997</v>
      </c>
      <c r="F238" s="12">
        <v>2895225.0980027281</v>
      </c>
      <c r="G238" s="2">
        <f t="shared" si="3"/>
        <v>48.488797742791405</v>
      </c>
      <c r="H238" s="30">
        <v>2.1145402420015329</v>
      </c>
    </row>
    <row r="239" spans="1:8" ht="14.1" customHeight="1">
      <c r="A239" s="29" t="s">
        <v>207</v>
      </c>
      <c r="B239" s="1" t="s">
        <v>801</v>
      </c>
      <c r="C239" s="1" t="s">
        <v>802</v>
      </c>
      <c r="D239" s="1" t="s">
        <v>28</v>
      </c>
      <c r="E239" s="12">
        <v>5262816.1050000004</v>
      </c>
      <c r="F239" s="12">
        <v>530171.01538687001</v>
      </c>
      <c r="G239" s="2">
        <f t="shared" si="3"/>
        <v>10.073903492147004</v>
      </c>
      <c r="H239" s="30">
        <v>0.38721270686404297</v>
      </c>
    </row>
    <row r="240" spans="1:8" ht="14.1" customHeight="1">
      <c r="A240" s="29" t="s">
        <v>265</v>
      </c>
      <c r="B240" s="1" t="s">
        <v>803</v>
      </c>
      <c r="C240" s="1" t="s">
        <v>804</v>
      </c>
      <c r="D240" s="1" t="s">
        <v>311</v>
      </c>
      <c r="E240" s="12">
        <v>1267542.554</v>
      </c>
      <c r="F240" s="12">
        <v>96781.166719750923</v>
      </c>
      <c r="G240" s="2">
        <f t="shared" si="3"/>
        <v>7.6353386649100949</v>
      </c>
      <c r="H240" s="30">
        <v>7.0684546026472714E-2</v>
      </c>
    </row>
    <row r="241" spans="1:8" ht="14.1" customHeight="1">
      <c r="A241" s="29" t="s">
        <v>143</v>
      </c>
      <c r="B241" s="1" t="s">
        <v>805</v>
      </c>
      <c r="C241" s="1" t="s">
        <v>806</v>
      </c>
      <c r="D241" s="1" t="s">
        <v>28</v>
      </c>
      <c r="E241" s="12">
        <v>765231.42</v>
      </c>
      <c r="F241" s="12">
        <v>556.97118199299996</v>
      </c>
      <c r="G241" s="2">
        <f t="shared" si="3"/>
        <v>7.2784672379631238E-2</v>
      </c>
      <c r="H241" s="30">
        <v>4.0678632510191372E-4</v>
      </c>
    </row>
    <row r="242" spans="1:8" ht="14.1" customHeight="1">
      <c r="A242" s="29" t="s">
        <v>143</v>
      </c>
      <c r="B242" s="1" t="s">
        <v>807</v>
      </c>
      <c r="C242" s="1" t="s">
        <v>808</v>
      </c>
      <c r="D242" s="1" t="s">
        <v>28</v>
      </c>
      <c r="E242" s="12">
        <v>750660.55099999998</v>
      </c>
      <c r="F242" s="12">
        <v>9331.3175921159982</v>
      </c>
      <c r="G242" s="2">
        <f t="shared" si="3"/>
        <v>1.2430808545467309</v>
      </c>
      <c r="H242" s="30">
        <v>6.8151683864021029E-3</v>
      </c>
    </row>
    <row r="243" spans="1:8" ht="14.1" customHeight="1">
      <c r="A243" s="29" t="s">
        <v>145</v>
      </c>
      <c r="B243" s="1" t="s">
        <v>809</v>
      </c>
      <c r="C243" s="1" t="s">
        <v>810</v>
      </c>
      <c r="D243" s="1" t="s">
        <v>10</v>
      </c>
      <c r="E243" s="12">
        <v>630693.93400000001</v>
      </c>
      <c r="F243" s="12">
        <v>69415.608066079993</v>
      </c>
      <c r="G243" s="2">
        <f t="shared" si="3"/>
        <v>11.006227319459203</v>
      </c>
      <c r="H243" s="30">
        <v>5.0697991247723707E-2</v>
      </c>
    </row>
    <row r="244" spans="1:8" ht="14.1" customHeight="1">
      <c r="A244" s="29" t="s">
        <v>239</v>
      </c>
      <c r="B244" s="1" t="s">
        <v>811</v>
      </c>
      <c r="C244" s="1" t="s">
        <v>812</v>
      </c>
      <c r="D244" s="1" t="s">
        <v>10</v>
      </c>
      <c r="E244" s="12">
        <v>117460.933</v>
      </c>
      <c r="F244" s="12">
        <v>5219.5157101519999</v>
      </c>
      <c r="G244" s="2">
        <f t="shared" si="3"/>
        <v>4.4436184668752796</v>
      </c>
      <c r="H244" s="30">
        <v>3.8120959991986125E-3</v>
      </c>
    </row>
    <row r="245" spans="1:8" ht="14.1" customHeight="1">
      <c r="A245" s="29" t="s">
        <v>267</v>
      </c>
      <c r="B245" s="1" t="s">
        <v>813</v>
      </c>
      <c r="C245" s="1" t="s">
        <v>814</v>
      </c>
      <c r="D245" s="1" t="s">
        <v>28</v>
      </c>
      <c r="E245" s="12">
        <v>784968.84299999999</v>
      </c>
      <c r="F245" s="12">
        <v>27830.194567613104</v>
      </c>
      <c r="G245" s="2">
        <f t="shared" si="3"/>
        <v>3.5453884336671821</v>
      </c>
      <c r="H245" s="30">
        <v>2.0325903639253028E-2</v>
      </c>
    </row>
    <row r="246" spans="1:8" ht="14.1" customHeight="1">
      <c r="A246" s="29" t="s">
        <v>279</v>
      </c>
      <c r="B246" s="1" t="s">
        <v>815</v>
      </c>
      <c r="C246" s="1" t="s">
        <v>816</v>
      </c>
      <c r="D246" s="1" t="s">
        <v>10</v>
      </c>
      <c r="E246" s="12">
        <v>96902.653999999995</v>
      </c>
      <c r="F246" s="12">
        <v>16157.489628107793</v>
      </c>
      <c r="G246" s="2">
        <f t="shared" si="3"/>
        <v>16.673939217503573</v>
      </c>
      <c r="H246" s="30">
        <v>1.1800692820715563E-2</v>
      </c>
    </row>
    <row r="247" spans="1:8" ht="14.1" customHeight="1">
      <c r="A247" s="29" t="s">
        <v>147</v>
      </c>
      <c r="B247" s="1" t="s">
        <v>817</v>
      </c>
      <c r="C247" s="1" t="s">
        <v>818</v>
      </c>
      <c r="D247" s="1" t="s">
        <v>317</v>
      </c>
      <c r="E247" s="12">
        <v>390980.68</v>
      </c>
      <c r="F247" s="12">
        <v>0</v>
      </c>
      <c r="G247" s="2">
        <f t="shared" si="3"/>
        <v>0</v>
      </c>
      <c r="H247" s="30">
        <v>0</v>
      </c>
    </row>
    <row r="248" spans="1:8" ht="14.1" customHeight="1">
      <c r="A248" s="29" t="s">
        <v>155</v>
      </c>
      <c r="B248" s="1" t="s">
        <v>819</v>
      </c>
      <c r="C248" s="1" t="s">
        <v>820</v>
      </c>
      <c r="D248" s="1" t="s">
        <v>7</v>
      </c>
      <c r="E248" s="12">
        <v>953660.52500000002</v>
      </c>
      <c r="F248" s="12">
        <v>79447.50264646401</v>
      </c>
      <c r="G248" s="2">
        <f t="shared" si="3"/>
        <v>8.3307949279397935</v>
      </c>
      <c r="H248" s="30">
        <v>5.8024829084399265E-2</v>
      </c>
    </row>
    <row r="249" spans="1:8" ht="14.1" customHeight="1">
      <c r="A249" s="29" t="s">
        <v>269</v>
      </c>
      <c r="B249" s="1" t="s">
        <v>821</v>
      </c>
      <c r="C249" s="1" t="s">
        <v>822</v>
      </c>
      <c r="D249" s="1" t="s">
        <v>31</v>
      </c>
      <c r="E249" s="12">
        <v>84193.678</v>
      </c>
      <c r="F249" s="12">
        <v>2533.6815545464997</v>
      </c>
      <c r="G249" s="2">
        <f t="shared" si="3"/>
        <v>3.0093489377510028</v>
      </c>
      <c r="H249" s="30">
        <v>1.850485342642787E-3</v>
      </c>
    </row>
    <row r="250" spans="1:8" ht="14.1" customHeight="1">
      <c r="A250" s="29" t="s">
        <v>227</v>
      </c>
      <c r="B250" s="1" t="s">
        <v>823</v>
      </c>
      <c r="C250" s="1" t="s">
        <v>824</v>
      </c>
      <c r="D250" s="1" t="s">
        <v>28</v>
      </c>
      <c r="E250" s="12">
        <v>4641851.358</v>
      </c>
      <c r="F250" s="12">
        <v>192403.45212140112</v>
      </c>
      <c r="G250" s="2">
        <f t="shared" si="3"/>
        <v>4.1449722811525049</v>
      </c>
      <c r="H250" s="30">
        <v>0.14052269804215911</v>
      </c>
    </row>
    <row r="251" spans="1:8" ht="14.1" customHeight="1">
      <c r="A251" s="29" t="s">
        <v>187</v>
      </c>
      <c r="B251" s="1" t="s">
        <v>825</v>
      </c>
      <c r="C251" s="1" t="s">
        <v>826</v>
      </c>
      <c r="D251" s="1" t="s">
        <v>31</v>
      </c>
      <c r="E251" s="12">
        <v>300580.33199999999</v>
      </c>
      <c r="F251" s="12">
        <v>16078.218877591798</v>
      </c>
      <c r="G251" s="2">
        <f t="shared" si="3"/>
        <v>5.3490588591111807</v>
      </c>
      <c r="H251" s="30">
        <v>1.1742797083318369E-2</v>
      </c>
    </row>
    <row r="252" spans="1:8" ht="14.1" customHeight="1">
      <c r="A252" s="29" t="s">
        <v>143</v>
      </c>
      <c r="B252" s="1" t="s">
        <v>827</v>
      </c>
      <c r="C252" s="1" t="s">
        <v>828</v>
      </c>
      <c r="D252" s="1" t="s">
        <v>28</v>
      </c>
      <c r="E252" s="12">
        <v>1275969.936</v>
      </c>
      <c r="F252" s="12">
        <v>19412.220259827838</v>
      </c>
      <c r="G252" s="2">
        <f t="shared" si="3"/>
        <v>1.5213697213495976</v>
      </c>
      <c r="H252" s="30">
        <v>1.4177799492799483E-2</v>
      </c>
    </row>
    <row r="253" spans="1:8" ht="14.1" customHeight="1">
      <c r="A253" s="29" t="s">
        <v>243</v>
      </c>
      <c r="B253" s="1" t="s">
        <v>829</v>
      </c>
      <c r="C253" s="1" t="s">
        <v>830</v>
      </c>
      <c r="D253" s="1" t="s">
        <v>10</v>
      </c>
      <c r="E253" s="12">
        <v>400915.603</v>
      </c>
      <c r="F253" s="12">
        <v>74862.602212077909</v>
      </c>
      <c r="G253" s="2">
        <f t="shared" si="3"/>
        <v>18.672908126271633</v>
      </c>
      <c r="H253" s="30">
        <v>5.4676227111872928E-2</v>
      </c>
    </row>
    <row r="254" spans="1:8" ht="14.1" customHeight="1">
      <c r="A254" s="29" t="s">
        <v>131</v>
      </c>
      <c r="B254" s="1" t="s">
        <v>831</v>
      </c>
      <c r="C254" s="1" t="s">
        <v>832</v>
      </c>
      <c r="D254" s="1" t="s">
        <v>317</v>
      </c>
      <c r="E254" s="12">
        <v>113179.564</v>
      </c>
      <c r="F254" s="12">
        <v>52804.839377435477</v>
      </c>
      <c r="G254" s="2">
        <f t="shared" si="3"/>
        <v>46.655807383597519</v>
      </c>
      <c r="H254" s="30">
        <v>3.8566244093781087E-2</v>
      </c>
    </row>
    <row r="255" spans="1:8" ht="14.1" customHeight="1">
      <c r="A255" s="29" t="s">
        <v>271</v>
      </c>
      <c r="B255" s="1" t="s">
        <v>833</v>
      </c>
      <c r="C255" s="1" t="s">
        <v>834</v>
      </c>
      <c r="D255" s="1" t="s">
        <v>31</v>
      </c>
      <c r="E255" s="12">
        <v>2910385.105</v>
      </c>
      <c r="F255" s="12">
        <v>0</v>
      </c>
      <c r="G255" s="2">
        <f t="shared" si="3"/>
        <v>0</v>
      </c>
      <c r="H255" s="30">
        <v>0</v>
      </c>
    </row>
    <row r="256" spans="1:8" ht="14.1" customHeight="1">
      <c r="A256" s="29" t="s">
        <v>257</v>
      </c>
      <c r="B256" s="1" t="s">
        <v>835</v>
      </c>
      <c r="C256" s="1" t="s">
        <v>836</v>
      </c>
      <c r="D256" s="1" t="s">
        <v>324</v>
      </c>
      <c r="E256" s="12">
        <v>1952237.807</v>
      </c>
      <c r="F256" s="12">
        <v>110943.71388612632</v>
      </c>
      <c r="G256" s="2">
        <f t="shared" si="3"/>
        <v>5.6828995672721501</v>
      </c>
      <c r="H256" s="30">
        <v>8.1028223944022093E-2</v>
      </c>
    </row>
    <row r="257" spans="1:8" ht="14.1" customHeight="1">
      <c r="A257" s="29" t="s">
        <v>233</v>
      </c>
      <c r="B257" s="1" t="s">
        <v>837</v>
      </c>
      <c r="C257" s="1" t="s">
        <v>838</v>
      </c>
      <c r="D257" s="1" t="s">
        <v>31</v>
      </c>
      <c r="E257" s="12">
        <v>249190.77299999999</v>
      </c>
      <c r="F257" s="12">
        <v>42774.973976477355</v>
      </c>
      <c r="G257" s="2">
        <f t="shared" si="3"/>
        <v>17.165552906117178</v>
      </c>
      <c r="H257" s="30">
        <v>3.124088827712437E-2</v>
      </c>
    </row>
    <row r="258" spans="1:8" ht="14.1" customHeight="1">
      <c r="A258" s="29" t="s">
        <v>233</v>
      </c>
      <c r="B258" s="1" t="s">
        <v>839</v>
      </c>
      <c r="C258" s="1" t="s">
        <v>840</v>
      </c>
      <c r="D258" s="1" t="s">
        <v>323</v>
      </c>
      <c r="E258" s="12">
        <v>5037583.2960000001</v>
      </c>
      <c r="F258" s="12">
        <v>566071.08824888698</v>
      </c>
      <c r="G258" s="2">
        <f t="shared" si="3"/>
        <v>11.236957385863281</v>
      </c>
      <c r="H258" s="30">
        <v>0.41343248121246584</v>
      </c>
    </row>
    <row r="259" spans="1:8" ht="14.1" customHeight="1">
      <c r="A259" s="29" t="s">
        <v>257</v>
      </c>
      <c r="B259" s="1" t="s">
        <v>841</v>
      </c>
      <c r="C259" s="1" t="s">
        <v>842</v>
      </c>
      <c r="D259" s="1" t="s">
        <v>323</v>
      </c>
      <c r="E259" s="12">
        <v>375266.40500000003</v>
      </c>
      <c r="F259" s="12">
        <v>88447.489444284671</v>
      </c>
      <c r="G259" s="2">
        <f t="shared" si="3"/>
        <v>23.56925327336047</v>
      </c>
      <c r="H259" s="30">
        <v>6.4598008584191097E-2</v>
      </c>
    </row>
    <row r="260" spans="1:8" ht="14.1" customHeight="1">
      <c r="A260" s="29" t="s">
        <v>265</v>
      </c>
      <c r="B260" s="1" t="s">
        <v>843</v>
      </c>
      <c r="C260" s="1" t="s">
        <v>844</v>
      </c>
      <c r="D260" s="1" t="s">
        <v>845</v>
      </c>
      <c r="E260" s="12">
        <v>630453.52899999998</v>
      </c>
      <c r="F260" s="12">
        <v>62970.670295641874</v>
      </c>
      <c r="G260" s="2">
        <f t="shared" ref="G260:G323" si="4">F260/E260*100</f>
        <v>9.9881541460356988</v>
      </c>
      <c r="H260" s="30">
        <v>4.599090291729014E-2</v>
      </c>
    </row>
    <row r="261" spans="1:8" ht="14.1" customHeight="1">
      <c r="A261" s="29" t="s">
        <v>257</v>
      </c>
      <c r="B261" s="1" t="s">
        <v>846</v>
      </c>
      <c r="C261" s="1" t="s">
        <v>847</v>
      </c>
      <c r="D261" s="1" t="s">
        <v>10</v>
      </c>
      <c r="E261" s="12">
        <v>2946812.7370000002</v>
      </c>
      <c r="F261" s="12">
        <v>119905.38584844829</v>
      </c>
      <c r="G261" s="2">
        <f t="shared" si="4"/>
        <v>4.0689855973175222</v>
      </c>
      <c r="H261" s="30">
        <v>8.7573420037071706E-2</v>
      </c>
    </row>
    <row r="262" spans="1:8" ht="14.1" customHeight="1">
      <c r="A262" s="29" t="s">
        <v>193</v>
      </c>
      <c r="B262" s="1" t="s">
        <v>848</v>
      </c>
      <c r="C262" s="1" t="s">
        <v>849</v>
      </c>
      <c r="D262" s="1" t="s">
        <v>31</v>
      </c>
      <c r="E262" s="12">
        <v>1088767.493</v>
      </c>
      <c r="F262" s="12">
        <v>112464.50331621559</v>
      </c>
      <c r="G262" s="2">
        <f t="shared" si="4"/>
        <v>10.329524351092616</v>
      </c>
      <c r="H262" s="30">
        <v>8.2138939118380286E-2</v>
      </c>
    </row>
    <row r="263" spans="1:8" ht="14.1" customHeight="1">
      <c r="A263" s="29" t="s">
        <v>235</v>
      </c>
      <c r="B263" s="1" t="s">
        <v>850</v>
      </c>
      <c r="C263" s="1" t="s">
        <v>851</v>
      </c>
      <c r="D263" s="1" t="s">
        <v>73</v>
      </c>
      <c r="E263" s="12">
        <v>962253.91799999995</v>
      </c>
      <c r="F263" s="12">
        <v>27884.613964694785</v>
      </c>
      <c r="G263" s="2">
        <f t="shared" si="4"/>
        <v>2.897843640133122</v>
      </c>
      <c r="H263" s="30">
        <v>2.0365649082588005E-2</v>
      </c>
    </row>
    <row r="264" spans="1:8" ht="14.1" customHeight="1">
      <c r="A264" s="29" t="s">
        <v>143</v>
      </c>
      <c r="B264" s="1" t="s">
        <v>852</v>
      </c>
      <c r="C264" s="1" t="s">
        <v>853</v>
      </c>
      <c r="D264" s="1" t="s">
        <v>10</v>
      </c>
      <c r="E264" s="12">
        <v>303753.652</v>
      </c>
      <c r="F264" s="12">
        <v>23153.006438</v>
      </c>
      <c r="G264" s="2">
        <f t="shared" si="4"/>
        <v>7.6222973075563223</v>
      </c>
      <c r="H264" s="30">
        <v>1.6909898947147575E-2</v>
      </c>
    </row>
    <row r="265" spans="1:8" ht="14.1" customHeight="1">
      <c r="A265" s="29" t="s">
        <v>229</v>
      </c>
      <c r="B265" s="1" t="s">
        <v>854</v>
      </c>
      <c r="C265" s="1" t="s">
        <v>855</v>
      </c>
      <c r="D265" s="1" t="s">
        <v>73</v>
      </c>
      <c r="E265" s="12">
        <v>1898730.581</v>
      </c>
      <c r="F265" s="12">
        <v>115487.22385012193</v>
      </c>
      <c r="G265" s="2">
        <f t="shared" si="4"/>
        <v>6.0823386427630268</v>
      </c>
      <c r="H265" s="30">
        <v>8.4346596206486713E-2</v>
      </c>
    </row>
    <row r="266" spans="1:8" ht="14.1" customHeight="1">
      <c r="A266" s="29" t="s">
        <v>141</v>
      </c>
      <c r="B266" s="1" t="s">
        <v>856</v>
      </c>
      <c r="C266" s="1" t="s">
        <v>857</v>
      </c>
      <c r="D266" s="1" t="s">
        <v>317</v>
      </c>
      <c r="E266" s="12">
        <v>449269.06900000002</v>
      </c>
      <c r="F266" s="12">
        <v>0</v>
      </c>
      <c r="G266" s="2">
        <f t="shared" si="4"/>
        <v>0</v>
      </c>
      <c r="H266" s="30">
        <v>0</v>
      </c>
    </row>
    <row r="267" spans="1:8" ht="14.1" customHeight="1">
      <c r="A267" s="29" t="s">
        <v>273</v>
      </c>
      <c r="B267" s="1" t="s">
        <v>858</v>
      </c>
      <c r="C267" s="1" t="s">
        <v>859</v>
      </c>
      <c r="D267" s="1" t="s">
        <v>19</v>
      </c>
      <c r="E267" s="12">
        <v>4333835.642</v>
      </c>
      <c r="F267" s="12">
        <v>11716.447561229001</v>
      </c>
      <c r="G267" s="2">
        <f t="shared" si="4"/>
        <v>0.27034822104656547</v>
      </c>
      <c r="H267" s="30">
        <v>8.5571584325551796E-3</v>
      </c>
    </row>
    <row r="268" spans="1:8" ht="14.1" customHeight="1">
      <c r="A268" s="29" t="s">
        <v>131</v>
      </c>
      <c r="B268" s="1" t="s">
        <v>860</v>
      </c>
      <c r="C268" s="1" t="s">
        <v>861</v>
      </c>
      <c r="D268" s="1" t="s">
        <v>19</v>
      </c>
      <c r="E268" s="12">
        <v>1159658.692</v>
      </c>
      <c r="F268" s="12">
        <v>610713.99542654492</v>
      </c>
      <c r="G268" s="2">
        <f t="shared" si="4"/>
        <v>52.663253389950441</v>
      </c>
      <c r="H268" s="30">
        <v>0.44603762262693414</v>
      </c>
    </row>
    <row r="269" spans="1:8" ht="14.1" customHeight="1">
      <c r="A269" s="29" t="s">
        <v>205</v>
      </c>
      <c r="B269" s="1" t="s">
        <v>862</v>
      </c>
      <c r="C269" s="1" t="s">
        <v>863</v>
      </c>
      <c r="D269" s="1" t="s">
        <v>317</v>
      </c>
      <c r="E269" s="12">
        <v>2516971.199</v>
      </c>
      <c r="F269" s="12">
        <v>0</v>
      </c>
      <c r="G269" s="2">
        <f t="shared" si="4"/>
        <v>0</v>
      </c>
      <c r="H269" s="30">
        <v>0</v>
      </c>
    </row>
    <row r="270" spans="1:8" ht="14.1" customHeight="1">
      <c r="A270" s="29" t="s">
        <v>239</v>
      </c>
      <c r="B270" s="1" t="s">
        <v>864</v>
      </c>
      <c r="C270" s="1" t="s">
        <v>865</v>
      </c>
      <c r="D270" s="1" t="s">
        <v>10</v>
      </c>
      <c r="E270" s="12">
        <v>113767.144</v>
      </c>
      <c r="F270" s="12">
        <v>2731.1193061014055</v>
      </c>
      <c r="G270" s="2">
        <f t="shared" si="4"/>
        <v>2.4006221920288389</v>
      </c>
      <c r="H270" s="30">
        <v>1.9946848631709679E-3</v>
      </c>
    </row>
    <row r="271" spans="1:8" ht="14.1" customHeight="1">
      <c r="A271" s="29" t="s">
        <v>161</v>
      </c>
      <c r="B271" s="1" t="s">
        <v>866</v>
      </c>
      <c r="C271" s="1" t="s">
        <v>867</v>
      </c>
      <c r="D271" s="1" t="s">
        <v>28</v>
      </c>
      <c r="E271" s="12">
        <v>1798759.355</v>
      </c>
      <c r="F271" s="12">
        <v>13938.298105600001</v>
      </c>
      <c r="G271" s="2">
        <f t="shared" si="4"/>
        <v>0.77488398138727121</v>
      </c>
      <c r="H271" s="30">
        <v>1.0179896640726467E-2</v>
      </c>
    </row>
    <row r="272" spans="1:8" ht="14.1" customHeight="1">
      <c r="A272" s="29" t="s">
        <v>251</v>
      </c>
      <c r="B272" s="1" t="s">
        <v>868</v>
      </c>
      <c r="C272" s="1" t="s">
        <v>869</v>
      </c>
      <c r="D272" s="1" t="s">
        <v>12</v>
      </c>
      <c r="E272" s="12">
        <v>3907.5239999999999</v>
      </c>
      <c r="F272" s="12">
        <v>685.83343732010997</v>
      </c>
      <c r="G272" s="2">
        <f t="shared" si="4"/>
        <v>17.551611642567259</v>
      </c>
      <c r="H272" s="30">
        <v>5.0090143371720722E-4</v>
      </c>
    </row>
    <row r="273" spans="1:8" ht="14.1" customHeight="1">
      <c r="A273" s="29" t="s">
        <v>229</v>
      </c>
      <c r="B273" s="1" t="s">
        <v>870</v>
      </c>
      <c r="C273" s="1" t="s">
        <v>871</v>
      </c>
      <c r="D273" s="1" t="s">
        <v>317</v>
      </c>
      <c r="E273" s="12">
        <v>660369.18900000001</v>
      </c>
      <c r="F273" s="12">
        <v>0</v>
      </c>
      <c r="G273" s="2">
        <f t="shared" si="4"/>
        <v>0</v>
      </c>
      <c r="H273" s="30">
        <v>0</v>
      </c>
    </row>
    <row r="274" spans="1:8" ht="14.1" customHeight="1">
      <c r="A274" s="29" t="s">
        <v>239</v>
      </c>
      <c r="B274" s="1" t="s">
        <v>872</v>
      </c>
      <c r="C274" s="1" t="s">
        <v>873</v>
      </c>
      <c r="D274" s="1" t="s">
        <v>10</v>
      </c>
      <c r="E274" s="12">
        <v>206492.38399999999</v>
      </c>
      <c r="F274" s="12">
        <v>81515.575120006804</v>
      </c>
      <c r="G274" s="2">
        <f t="shared" si="4"/>
        <v>39.476310719530851</v>
      </c>
      <c r="H274" s="30">
        <v>5.953525480974222E-2</v>
      </c>
    </row>
    <row r="275" spans="1:8" ht="14.1" customHeight="1">
      <c r="A275" s="29" t="s">
        <v>143</v>
      </c>
      <c r="B275" s="1" t="s">
        <v>874</v>
      </c>
      <c r="C275" s="1" t="s">
        <v>875</v>
      </c>
      <c r="D275" s="1" t="s">
        <v>10</v>
      </c>
      <c r="E275" s="12">
        <v>624671.147</v>
      </c>
      <c r="F275" s="12">
        <v>44480.0554559831</v>
      </c>
      <c r="G275" s="2">
        <f t="shared" si="4"/>
        <v>7.1205554585960575</v>
      </c>
      <c r="H275" s="30">
        <v>3.2486201951281747E-2</v>
      </c>
    </row>
    <row r="276" spans="1:8" ht="14.1" customHeight="1">
      <c r="A276" s="29" t="s">
        <v>141</v>
      </c>
      <c r="B276" s="1" t="s">
        <v>876</v>
      </c>
      <c r="C276" s="1" t="s">
        <v>877</v>
      </c>
      <c r="D276" s="1" t="s">
        <v>28</v>
      </c>
      <c r="E276" s="12">
        <v>1316957.1299999999</v>
      </c>
      <c r="F276" s="12">
        <v>41700.695507650998</v>
      </c>
      <c r="G276" s="2">
        <f t="shared" si="4"/>
        <v>3.166442897624997</v>
      </c>
      <c r="H276" s="30">
        <v>3.0456284325253349E-2</v>
      </c>
    </row>
    <row r="277" spans="1:8" ht="14.1" customHeight="1">
      <c r="A277" s="29" t="s">
        <v>225</v>
      </c>
      <c r="B277" s="1" t="s">
        <v>878</v>
      </c>
      <c r="C277" s="1" t="s">
        <v>879</v>
      </c>
      <c r="D277" s="1" t="s">
        <v>317</v>
      </c>
      <c r="E277" s="12">
        <v>435262.64</v>
      </c>
      <c r="F277" s="12">
        <v>0</v>
      </c>
      <c r="G277" s="2">
        <f t="shared" si="4"/>
        <v>0</v>
      </c>
      <c r="H277" s="30">
        <v>0</v>
      </c>
    </row>
    <row r="278" spans="1:8" ht="14.1" customHeight="1">
      <c r="A278" s="29" t="s">
        <v>187</v>
      </c>
      <c r="B278" s="1" t="s">
        <v>880</v>
      </c>
      <c r="C278" s="1" t="s">
        <v>881</v>
      </c>
      <c r="D278" s="1" t="s">
        <v>31</v>
      </c>
      <c r="E278" s="12">
        <v>1846803.747</v>
      </c>
      <c r="F278" s="12">
        <v>405403.35232388199</v>
      </c>
      <c r="G278" s="2">
        <f t="shared" si="4"/>
        <v>21.951620630098386</v>
      </c>
      <c r="H278" s="30">
        <v>0.29608810151671539</v>
      </c>
    </row>
    <row r="279" spans="1:8" ht="14.1" customHeight="1">
      <c r="A279" s="29" t="s">
        <v>149</v>
      </c>
      <c r="B279" s="1" t="s">
        <v>882</v>
      </c>
      <c r="C279" s="1" t="s">
        <v>883</v>
      </c>
      <c r="D279" s="1" t="s">
        <v>28</v>
      </c>
      <c r="E279" s="12">
        <v>2464073.5350000001</v>
      </c>
      <c r="F279" s="12">
        <v>351659.52041373495</v>
      </c>
      <c r="G279" s="2">
        <f t="shared" si="4"/>
        <v>14.271470206498318</v>
      </c>
      <c r="H279" s="30">
        <v>0.25683606014287924</v>
      </c>
    </row>
    <row r="280" spans="1:8" ht="14.1" customHeight="1">
      <c r="A280" s="29" t="s">
        <v>213</v>
      </c>
      <c r="B280" s="1" t="s">
        <v>884</v>
      </c>
      <c r="C280" s="1" t="s">
        <v>885</v>
      </c>
      <c r="D280" s="1" t="s">
        <v>7</v>
      </c>
      <c r="E280" s="12">
        <v>1898798.75</v>
      </c>
      <c r="F280" s="12">
        <v>197328.76209832335</v>
      </c>
      <c r="G280" s="2">
        <f t="shared" si="4"/>
        <v>10.39229471255568</v>
      </c>
      <c r="H280" s="30">
        <v>0.14411991960455792</v>
      </c>
    </row>
    <row r="281" spans="1:8" ht="14.1" customHeight="1">
      <c r="A281" s="29" t="s">
        <v>285</v>
      </c>
      <c r="B281" s="1" t="s">
        <v>886</v>
      </c>
      <c r="C281" s="1" t="s">
        <v>887</v>
      </c>
      <c r="D281" s="1" t="s">
        <v>58</v>
      </c>
      <c r="E281" s="12">
        <v>415444.516</v>
      </c>
      <c r="F281" s="12">
        <v>26742.124089214125</v>
      </c>
      <c r="G281" s="2">
        <f t="shared" si="4"/>
        <v>6.4369905148089916</v>
      </c>
      <c r="H281" s="30">
        <v>1.9531226633207562E-2</v>
      </c>
    </row>
    <row r="282" spans="1:8" ht="14.1" customHeight="1">
      <c r="A282" s="29" t="s">
        <v>143</v>
      </c>
      <c r="B282" s="1" t="s">
        <v>888</v>
      </c>
      <c r="C282" s="1" t="s">
        <v>889</v>
      </c>
      <c r="D282" s="1" t="s">
        <v>10</v>
      </c>
      <c r="E282" s="12">
        <v>700240.51300000004</v>
      </c>
      <c r="F282" s="12">
        <v>2139.9365042200998</v>
      </c>
      <c r="G282" s="2">
        <f t="shared" si="4"/>
        <v>0.30560021371115664</v>
      </c>
      <c r="H282" s="30">
        <v>1.5629119326932624E-3</v>
      </c>
    </row>
    <row r="283" spans="1:8" ht="14.1" customHeight="1">
      <c r="A283" s="29" t="s">
        <v>287</v>
      </c>
      <c r="B283" s="1" t="s">
        <v>890</v>
      </c>
      <c r="C283" s="1" t="s">
        <v>891</v>
      </c>
      <c r="D283" s="1" t="s">
        <v>58</v>
      </c>
      <c r="E283" s="12">
        <v>623103.44999999995</v>
      </c>
      <c r="F283" s="12">
        <v>89180.348145326032</v>
      </c>
      <c r="G283" s="2">
        <f t="shared" si="4"/>
        <v>14.312286049022202</v>
      </c>
      <c r="H283" s="30">
        <v>6.5133255123785525E-2</v>
      </c>
    </row>
    <row r="284" spans="1:8" ht="14.1" customHeight="1">
      <c r="A284" s="29" t="s">
        <v>229</v>
      </c>
      <c r="B284" s="1" t="s">
        <v>892</v>
      </c>
      <c r="C284" s="1" t="s">
        <v>893</v>
      </c>
      <c r="D284" s="1" t="s">
        <v>28</v>
      </c>
      <c r="E284" s="12">
        <v>1147549.47</v>
      </c>
      <c r="F284" s="12">
        <v>280962.08635297004</v>
      </c>
      <c r="G284" s="2">
        <f t="shared" si="4"/>
        <v>24.483657889970534</v>
      </c>
      <c r="H284" s="30">
        <v>0.20520188170512502</v>
      </c>
    </row>
    <row r="285" spans="1:8" ht="14.1" customHeight="1">
      <c r="A285" s="29" t="s">
        <v>247</v>
      </c>
      <c r="B285" s="1" t="s">
        <v>894</v>
      </c>
      <c r="C285" s="1" t="s">
        <v>895</v>
      </c>
      <c r="D285" s="1" t="s">
        <v>313</v>
      </c>
      <c r="E285" s="12">
        <v>12785260.498</v>
      </c>
      <c r="F285" s="12">
        <v>3176598.3938678866</v>
      </c>
      <c r="G285" s="2">
        <f t="shared" si="4"/>
        <v>24.845785460255602</v>
      </c>
      <c r="H285" s="30">
        <v>2.3200424523622831</v>
      </c>
    </row>
    <row r="286" spans="1:8" ht="14.1" customHeight="1">
      <c r="A286" s="29" t="s">
        <v>163</v>
      </c>
      <c r="B286" s="1" t="s">
        <v>896</v>
      </c>
      <c r="C286" s="1" t="s">
        <v>897</v>
      </c>
      <c r="D286" s="1" t="s">
        <v>10</v>
      </c>
      <c r="E286" s="12">
        <v>2070061.004</v>
      </c>
      <c r="F286" s="12">
        <v>32215.082425217999</v>
      </c>
      <c r="G286" s="2">
        <f t="shared" si="4"/>
        <v>1.5562383119612644</v>
      </c>
      <c r="H286" s="30">
        <v>2.3528425556448945E-2</v>
      </c>
    </row>
    <row r="287" spans="1:8" ht="14.1" customHeight="1">
      <c r="A287" s="29" t="s">
        <v>265</v>
      </c>
      <c r="B287" s="1" t="s">
        <v>898</v>
      </c>
      <c r="C287" s="1" t="s">
        <v>899</v>
      </c>
      <c r="D287" s="1" t="s">
        <v>10</v>
      </c>
      <c r="E287" s="12">
        <v>293164.14799999999</v>
      </c>
      <c r="F287" s="12">
        <v>27159.363641204</v>
      </c>
      <c r="G287" s="2">
        <f t="shared" si="4"/>
        <v>9.2642172743455653</v>
      </c>
      <c r="H287" s="30">
        <v>1.9835959354627362E-2</v>
      </c>
    </row>
    <row r="288" spans="1:8" ht="14.1" customHeight="1">
      <c r="A288" s="29" t="s">
        <v>187</v>
      </c>
      <c r="B288" s="1" t="s">
        <v>900</v>
      </c>
      <c r="C288" s="1" t="s">
        <v>901</v>
      </c>
      <c r="D288" s="1" t="s">
        <v>31</v>
      </c>
      <c r="E288" s="12">
        <v>1745478.727</v>
      </c>
      <c r="F288" s="12">
        <v>15290.109635105</v>
      </c>
      <c r="G288" s="2">
        <f t="shared" si="4"/>
        <v>0.87598372862352281</v>
      </c>
      <c r="H288" s="30">
        <v>1.1167198070488138E-2</v>
      </c>
    </row>
    <row r="289" spans="1:8" ht="14.1" customHeight="1">
      <c r="A289" s="29" t="s">
        <v>271</v>
      </c>
      <c r="B289" s="1" t="s">
        <v>902</v>
      </c>
      <c r="C289" s="1" t="s">
        <v>903</v>
      </c>
      <c r="D289" s="1" t="s">
        <v>31</v>
      </c>
      <c r="E289" s="12">
        <v>2593716.7480000001</v>
      </c>
      <c r="F289" s="12">
        <v>73165.901827622991</v>
      </c>
      <c r="G289" s="2">
        <f t="shared" si="4"/>
        <v>2.8208902103146301</v>
      </c>
      <c r="H289" s="30">
        <v>5.3437034606936301E-2</v>
      </c>
    </row>
    <row r="290" spans="1:8" ht="14.1" customHeight="1">
      <c r="A290" s="29" t="s">
        <v>265</v>
      </c>
      <c r="B290" s="1" t="s">
        <v>904</v>
      </c>
      <c r="C290" s="1" t="s">
        <v>905</v>
      </c>
      <c r="D290" s="1" t="s">
        <v>10</v>
      </c>
      <c r="E290" s="12">
        <v>284171.96500000003</v>
      </c>
      <c r="F290" s="12">
        <v>6759.7328348190504</v>
      </c>
      <c r="G290" s="2">
        <f t="shared" si="4"/>
        <v>2.3787472612997029</v>
      </c>
      <c r="H290" s="30">
        <v>4.9370002747850293E-3</v>
      </c>
    </row>
    <row r="291" spans="1:8" ht="14.1" customHeight="1">
      <c r="A291" s="29" t="s">
        <v>261</v>
      </c>
      <c r="B291" s="1" t="s">
        <v>906</v>
      </c>
      <c r="C291" s="1" t="s">
        <v>907</v>
      </c>
      <c r="D291" s="1" t="s">
        <v>36</v>
      </c>
      <c r="E291" s="12">
        <v>237798.85399999999</v>
      </c>
      <c r="F291" s="12">
        <v>37533.800472791605</v>
      </c>
      <c r="G291" s="2">
        <f t="shared" si="4"/>
        <v>15.783844136099834</v>
      </c>
      <c r="H291" s="30">
        <v>2.7412974414226091E-2</v>
      </c>
    </row>
    <row r="292" spans="1:8" ht="14.1" customHeight="1">
      <c r="A292" s="29" t="s">
        <v>265</v>
      </c>
      <c r="B292" s="1" t="s">
        <v>908</v>
      </c>
      <c r="C292" s="1" t="s">
        <v>909</v>
      </c>
      <c r="D292" s="1" t="s">
        <v>36</v>
      </c>
      <c r="E292" s="12">
        <v>149857.10500000001</v>
      </c>
      <c r="F292" s="12">
        <v>75012.313457863405</v>
      </c>
      <c r="G292" s="2">
        <f t="shared" si="4"/>
        <v>50.055893884953541</v>
      </c>
      <c r="H292" s="30">
        <v>5.4785569371344212E-2</v>
      </c>
    </row>
    <row r="293" spans="1:8" ht="14.1" customHeight="1">
      <c r="A293" s="29" t="s">
        <v>303</v>
      </c>
      <c r="B293" s="1" t="s">
        <v>910</v>
      </c>
      <c r="C293" s="1" t="s">
        <v>911</v>
      </c>
      <c r="D293" s="1" t="s">
        <v>28</v>
      </c>
      <c r="E293" s="12">
        <v>233750.948</v>
      </c>
      <c r="F293" s="12">
        <v>216376.43386455579</v>
      </c>
      <c r="G293" s="2">
        <f t="shared" si="4"/>
        <v>92.567082921330339</v>
      </c>
      <c r="H293" s="30">
        <v>0.15803146951959562</v>
      </c>
    </row>
    <row r="294" spans="1:8" ht="14.1" customHeight="1">
      <c r="A294" s="29" t="s">
        <v>229</v>
      </c>
      <c r="B294" s="1" t="s">
        <v>912</v>
      </c>
      <c r="C294" s="1" t="s">
        <v>913</v>
      </c>
      <c r="D294" s="1" t="s">
        <v>10</v>
      </c>
      <c r="E294" s="12">
        <v>536555.98300000001</v>
      </c>
      <c r="F294" s="12">
        <v>10487.211200899999</v>
      </c>
      <c r="G294" s="2">
        <f t="shared" si="4"/>
        <v>1.9545418433811406</v>
      </c>
      <c r="H294" s="30">
        <v>7.6593803106950586E-3</v>
      </c>
    </row>
    <row r="295" spans="1:8" ht="14.1" customHeight="1">
      <c r="A295" s="29" t="s">
        <v>229</v>
      </c>
      <c r="B295" s="1" t="s">
        <v>914</v>
      </c>
      <c r="C295" s="1" t="s">
        <v>915</v>
      </c>
      <c r="D295" s="1" t="s">
        <v>10</v>
      </c>
      <c r="E295" s="12">
        <v>301216.55200000003</v>
      </c>
      <c r="F295" s="12">
        <v>60178.959549599997</v>
      </c>
      <c r="G295" s="2">
        <f t="shared" si="4"/>
        <v>19.978636349837771</v>
      </c>
      <c r="H295" s="30">
        <v>4.3951964832439336E-2</v>
      </c>
    </row>
    <row r="296" spans="1:8" ht="14.1" customHeight="1">
      <c r="A296" s="29" t="s">
        <v>153</v>
      </c>
      <c r="B296" s="1" t="s">
        <v>916</v>
      </c>
      <c r="C296" s="1" t="s">
        <v>917</v>
      </c>
      <c r="D296" s="1" t="s">
        <v>317</v>
      </c>
      <c r="E296" s="12">
        <v>324460.12300000002</v>
      </c>
      <c r="F296" s="12">
        <v>0</v>
      </c>
      <c r="G296" s="2">
        <f t="shared" si="4"/>
        <v>0</v>
      </c>
      <c r="H296" s="30">
        <v>0</v>
      </c>
    </row>
    <row r="297" spans="1:8" ht="14.1" customHeight="1">
      <c r="A297" s="29" t="s">
        <v>271</v>
      </c>
      <c r="B297" s="1" t="s">
        <v>918</v>
      </c>
      <c r="C297" s="1" t="s">
        <v>919</v>
      </c>
      <c r="D297" s="1" t="s">
        <v>317</v>
      </c>
      <c r="E297" s="12">
        <v>158622.63699999999</v>
      </c>
      <c r="F297" s="12">
        <v>0</v>
      </c>
      <c r="G297" s="2">
        <f t="shared" si="4"/>
        <v>0</v>
      </c>
      <c r="H297" s="30">
        <v>0</v>
      </c>
    </row>
    <row r="298" spans="1:8" ht="14.1" customHeight="1">
      <c r="A298" s="29" t="s">
        <v>185</v>
      </c>
      <c r="B298" s="1" t="s">
        <v>920</v>
      </c>
      <c r="C298" s="1" t="s">
        <v>921</v>
      </c>
      <c r="D298" s="1" t="s">
        <v>317</v>
      </c>
      <c r="E298" s="12">
        <v>903227.73899999994</v>
      </c>
      <c r="F298" s="12">
        <v>0</v>
      </c>
      <c r="G298" s="2">
        <f t="shared" si="4"/>
        <v>0</v>
      </c>
      <c r="H298" s="30">
        <v>0</v>
      </c>
    </row>
    <row r="299" spans="1:8" ht="14.1" customHeight="1">
      <c r="A299" s="29" t="s">
        <v>235</v>
      </c>
      <c r="B299" s="1" t="s">
        <v>922</v>
      </c>
      <c r="C299" s="1" t="s">
        <v>923</v>
      </c>
      <c r="D299" s="1" t="s">
        <v>10</v>
      </c>
      <c r="E299" s="12">
        <v>1430561.9539999999</v>
      </c>
      <c r="F299" s="12">
        <v>23122.542961884097</v>
      </c>
      <c r="G299" s="2">
        <f t="shared" si="4"/>
        <v>1.6163258709090553</v>
      </c>
      <c r="H299" s="30">
        <v>1.6887649814877077E-2</v>
      </c>
    </row>
    <row r="300" spans="1:8" ht="14.1" customHeight="1">
      <c r="A300" s="29" t="s">
        <v>203</v>
      </c>
      <c r="B300" s="1" t="s">
        <v>924</v>
      </c>
      <c r="C300" s="1" t="s">
        <v>925</v>
      </c>
      <c r="D300" s="1" t="s">
        <v>19</v>
      </c>
      <c r="E300" s="12">
        <v>67547.244999999995</v>
      </c>
      <c r="F300" s="12">
        <v>66966.478426948772</v>
      </c>
      <c r="G300" s="2">
        <f t="shared" si="4"/>
        <v>99.140206868464844</v>
      </c>
      <c r="H300" s="30">
        <v>4.8909258764230717E-2</v>
      </c>
    </row>
    <row r="301" spans="1:8" ht="14.1" customHeight="1">
      <c r="A301" s="29" t="s">
        <v>155</v>
      </c>
      <c r="B301" s="1" t="s">
        <v>926</v>
      </c>
      <c r="C301" s="1" t="s">
        <v>927</v>
      </c>
      <c r="D301" s="1" t="s">
        <v>7</v>
      </c>
      <c r="E301" s="12">
        <v>4397260.25</v>
      </c>
      <c r="F301" s="12">
        <v>2043070.3218017002</v>
      </c>
      <c r="G301" s="2">
        <f t="shared" si="4"/>
        <v>46.46234713539414</v>
      </c>
      <c r="H301" s="30">
        <v>1.4921652950815383</v>
      </c>
    </row>
    <row r="302" spans="1:8" ht="14.1" customHeight="1">
      <c r="A302" s="29" t="s">
        <v>277</v>
      </c>
      <c r="B302" s="1" t="s">
        <v>928</v>
      </c>
      <c r="C302" s="1" t="s">
        <v>929</v>
      </c>
      <c r="D302" s="1" t="s">
        <v>7</v>
      </c>
      <c r="E302" s="12">
        <v>1142333.548</v>
      </c>
      <c r="F302" s="12">
        <v>135882.13708785202</v>
      </c>
      <c r="G302" s="2">
        <f t="shared" si="4"/>
        <v>11.895136698537373</v>
      </c>
      <c r="H302" s="30">
        <v>9.9242109789544702E-2</v>
      </c>
    </row>
    <row r="303" spans="1:8" ht="14.1" customHeight="1">
      <c r="A303" s="29" t="s">
        <v>143</v>
      </c>
      <c r="B303" s="1" t="s">
        <v>930</v>
      </c>
      <c r="C303" s="1" t="s">
        <v>931</v>
      </c>
      <c r="D303" s="1" t="s">
        <v>10</v>
      </c>
      <c r="E303" s="12">
        <v>1732137.2</v>
      </c>
      <c r="F303" s="12">
        <v>281221.61581212597</v>
      </c>
      <c r="G303" s="2">
        <f t="shared" si="4"/>
        <v>16.23552775219688</v>
      </c>
      <c r="H303" s="30">
        <v>0.20539143017434375</v>
      </c>
    </row>
    <row r="304" spans="1:8" ht="14.1" customHeight="1">
      <c r="A304" s="29" t="s">
        <v>143</v>
      </c>
      <c r="B304" s="1" t="s">
        <v>932</v>
      </c>
      <c r="C304" s="1" t="s">
        <v>933</v>
      </c>
      <c r="D304" s="1" t="s">
        <v>10</v>
      </c>
      <c r="E304" s="12">
        <v>535392.18500000006</v>
      </c>
      <c r="F304" s="12">
        <v>84656.654414219491</v>
      </c>
      <c r="G304" s="2">
        <f t="shared" si="4"/>
        <v>15.812082579094703</v>
      </c>
      <c r="H304" s="30">
        <v>6.1829355733194577E-2</v>
      </c>
    </row>
    <row r="305" spans="1:8" ht="14.1" customHeight="1">
      <c r="A305" s="29" t="s">
        <v>169</v>
      </c>
      <c r="B305" s="1" t="s">
        <v>934</v>
      </c>
      <c r="C305" s="1" t="s">
        <v>935</v>
      </c>
      <c r="D305" s="1" t="s">
        <v>7</v>
      </c>
      <c r="E305" s="12">
        <v>4928786.8569999998</v>
      </c>
      <c r="F305" s="12">
        <v>1036200.0338804777</v>
      </c>
      <c r="G305" s="2">
        <f t="shared" si="4"/>
        <v>21.023429576972632</v>
      </c>
      <c r="H305" s="30">
        <v>0.75679320130070138</v>
      </c>
    </row>
    <row r="306" spans="1:8" ht="14.1" customHeight="1">
      <c r="A306" s="29" t="s">
        <v>255</v>
      </c>
      <c r="B306" s="1" t="s">
        <v>254</v>
      </c>
      <c r="C306" s="1" t="s">
        <v>936</v>
      </c>
      <c r="D306" s="1" t="s">
        <v>19</v>
      </c>
      <c r="E306" s="12">
        <v>2851777.2059999998</v>
      </c>
      <c r="F306" s="12">
        <v>1217032.8892971545</v>
      </c>
      <c r="G306" s="2">
        <f t="shared" si="4"/>
        <v>42.676296266643021</v>
      </c>
      <c r="H306" s="30">
        <v>0.88886526371767616</v>
      </c>
    </row>
    <row r="307" spans="1:8" ht="14.1" customHeight="1">
      <c r="A307" s="29" t="s">
        <v>279</v>
      </c>
      <c r="B307" s="1" t="s">
        <v>937</v>
      </c>
      <c r="C307" s="1" t="s">
        <v>938</v>
      </c>
      <c r="D307" s="1" t="s">
        <v>10</v>
      </c>
      <c r="E307" s="12">
        <v>148388.973</v>
      </c>
      <c r="F307" s="12">
        <v>46302.074053506789</v>
      </c>
      <c r="G307" s="2">
        <f t="shared" si="4"/>
        <v>31.203177107713248</v>
      </c>
      <c r="H307" s="30">
        <v>3.3816921158156828E-2</v>
      </c>
    </row>
    <row r="308" spans="1:8" ht="14.1" customHeight="1">
      <c r="A308" s="29" t="s">
        <v>171</v>
      </c>
      <c r="B308" s="1" t="s">
        <v>939</v>
      </c>
      <c r="C308" s="1" t="s">
        <v>940</v>
      </c>
      <c r="D308" s="1" t="s">
        <v>317</v>
      </c>
      <c r="E308" s="12">
        <v>110819.393</v>
      </c>
      <c r="F308" s="12">
        <v>0</v>
      </c>
      <c r="G308" s="2">
        <f t="shared" si="4"/>
        <v>0</v>
      </c>
      <c r="H308" s="30">
        <v>0</v>
      </c>
    </row>
    <row r="309" spans="1:8" ht="14.1" customHeight="1">
      <c r="A309" s="29" t="s">
        <v>177</v>
      </c>
      <c r="B309" s="1" t="s">
        <v>941</v>
      </c>
      <c r="C309" s="1" t="s">
        <v>942</v>
      </c>
      <c r="D309" s="1" t="s">
        <v>28</v>
      </c>
      <c r="E309" s="12">
        <v>1580383.5009999999</v>
      </c>
      <c r="F309" s="12">
        <v>40504.797553379998</v>
      </c>
      <c r="G309" s="2">
        <f t="shared" si="4"/>
        <v>2.5629726916125279</v>
      </c>
      <c r="H309" s="30">
        <v>2.9582855053250347E-2</v>
      </c>
    </row>
    <row r="310" spans="1:8" ht="14.1" customHeight="1">
      <c r="A310" s="29" t="s">
        <v>157</v>
      </c>
      <c r="B310" s="1" t="s">
        <v>943</v>
      </c>
      <c r="C310" s="1" t="s">
        <v>944</v>
      </c>
      <c r="D310" s="1" t="s">
        <v>28</v>
      </c>
      <c r="E310" s="12">
        <v>466497.745</v>
      </c>
      <c r="F310" s="12">
        <v>18086.620105721009</v>
      </c>
      <c r="G310" s="2">
        <f t="shared" si="4"/>
        <v>3.8771077244373413</v>
      </c>
      <c r="H310" s="30">
        <v>1.3209641655056231E-2</v>
      </c>
    </row>
    <row r="311" spans="1:8" ht="14.1" customHeight="1">
      <c r="A311" s="29" t="s">
        <v>249</v>
      </c>
      <c r="B311" s="1" t="s">
        <v>945</v>
      </c>
      <c r="C311" s="1" t="s">
        <v>946</v>
      </c>
      <c r="D311" s="1" t="s">
        <v>319</v>
      </c>
      <c r="E311" s="12">
        <v>3233873.0260000001</v>
      </c>
      <c r="F311" s="12">
        <v>835867.81896272989</v>
      </c>
      <c r="G311" s="2">
        <f t="shared" si="4"/>
        <v>25.847267726420931</v>
      </c>
      <c r="H311" s="30">
        <v>0.61047969686710657</v>
      </c>
    </row>
    <row r="312" spans="1:8" ht="14.1" customHeight="1">
      <c r="A312" s="29" t="s">
        <v>181</v>
      </c>
      <c r="B312" s="1" t="s">
        <v>947</v>
      </c>
      <c r="C312" s="1" t="s">
        <v>948</v>
      </c>
      <c r="D312" s="1" t="s">
        <v>7</v>
      </c>
      <c r="E312" s="12">
        <v>1343389.871</v>
      </c>
      <c r="F312" s="12">
        <v>404141.41933389794</v>
      </c>
      <c r="G312" s="2">
        <f t="shared" si="4"/>
        <v>30.083703030532821</v>
      </c>
      <c r="H312" s="30">
        <v>0.29516644326918523</v>
      </c>
    </row>
    <row r="313" spans="1:8" ht="14.1" customHeight="1">
      <c r="A313" s="29" t="s">
        <v>273</v>
      </c>
      <c r="B313" s="1" t="s">
        <v>949</v>
      </c>
      <c r="C313" s="1" t="s">
        <v>950</v>
      </c>
      <c r="D313" s="1" t="s">
        <v>19</v>
      </c>
      <c r="E313" s="12">
        <v>1938959.3600000001</v>
      </c>
      <c r="F313" s="12">
        <v>48395.448219163911</v>
      </c>
      <c r="G313" s="2">
        <f t="shared" si="4"/>
        <v>2.495949591185032</v>
      </c>
      <c r="H313" s="30">
        <v>3.5345826084375517E-2</v>
      </c>
    </row>
    <row r="314" spans="1:8" ht="14.1" customHeight="1">
      <c r="A314" s="29" t="s">
        <v>257</v>
      </c>
      <c r="B314" s="1" t="s">
        <v>951</v>
      </c>
      <c r="C314" s="1" t="s">
        <v>952</v>
      </c>
      <c r="D314" s="1" t="s">
        <v>324</v>
      </c>
      <c r="E314" s="12">
        <v>162002.75899999999</v>
      </c>
      <c r="F314" s="12">
        <v>53779.568508385099</v>
      </c>
      <c r="G314" s="2">
        <f t="shared" si="4"/>
        <v>33.196699142873918</v>
      </c>
      <c r="H314" s="30">
        <v>3.9278141753782032E-2</v>
      </c>
    </row>
    <row r="315" spans="1:8" ht="14.1" customHeight="1">
      <c r="A315" s="29" t="s">
        <v>243</v>
      </c>
      <c r="B315" s="1" t="s">
        <v>953</v>
      </c>
      <c r="C315" s="1" t="s">
        <v>954</v>
      </c>
      <c r="D315" s="1" t="s">
        <v>10</v>
      </c>
      <c r="E315" s="12">
        <v>86829.023000000001</v>
      </c>
      <c r="F315" s="12">
        <v>13076.941615098425</v>
      </c>
      <c r="G315" s="2">
        <f t="shared" si="4"/>
        <v>15.060565192698789</v>
      </c>
      <c r="H315" s="30">
        <v>9.5508011817477291E-3</v>
      </c>
    </row>
    <row r="316" spans="1:8" ht="14.1" customHeight="1">
      <c r="A316" s="29" t="s">
        <v>253</v>
      </c>
      <c r="B316" s="1" t="s">
        <v>955</v>
      </c>
      <c r="C316" s="1" t="s">
        <v>956</v>
      </c>
      <c r="D316" s="1" t="s">
        <v>7</v>
      </c>
      <c r="E316" s="12">
        <v>1862236.0919999999</v>
      </c>
      <c r="F316" s="12">
        <v>127904.71937648732</v>
      </c>
      <c r="G316" s="2">
        <f t="shared" si="4"/>
        <v>6.8683406967545411</v>
      </c>
      <c r="H316" s="30">
        <v>9.3415768069319491E-2</v>
      </c>
    </row>
    <row r="317" spans="1:8" ht="14.1" customHeight="1">
      <c r="A317" s="29" t="s">
        <v>239</v>
      </c>
      <c r="B317" s="1" t="s">
        <v>957</v>
      </c>
      <c r="C317" s="1" t="s">
        <v>958</v>
      </c>
      <c r="D317" s="1" t="s">
        <v>10</v>
      </c>
      <c r="E317" s="12">
        <v>20606.021000000001</v>
      </c>
      <c r="F317" s="12">
        <v>10672.153878666</v>
      </c>
      <c r="G317" s="2">
        <f t="shared" si="4"/>
        <v>51.791434545592288</v>
      </c>
      <c r="H317" s="30">
        <v>7.7944539997389642E-3</v>
      </c>
    </row>
    <row r="318" spans="1:8" ht="14.1" customHeight="1">
      <c r="A318" s="29" t="s">
        <v>193</v>
      </c>
      <c r="B318" s="1" t="s">
        <v>959</v>
      </c>
      <c r="C318" s="1" t="s">
        <v>960</v>
      </c>
      <c r="D318" s="1" t="s">
        <v>31</v>
      </c>
      <c r="E318" s="12">
        <v>1409304.8970000001</v>
      </c>
      <c r="F318" s="12">
        <v>142809.28593700001</v>
      </c>
      <c r="G318" s="2">
        <f t="shared" si="4"/>
        <v>10.133313681162919</v>
      </c>
      <c r="H318" s="30">
        <v>0.10430138307850685</v>
      </c>
    </row>
    <row r="319" spans="1:8" ht="14.1" customHeight="1">
      <c r="A319" s="29" t="s">
        <v>219</v>
      </c>
      <c r="B319" s="1" t="s">
        <v>961</v>
      </c>
      <c r="C319" s="1" t="s">
        <v>962</v>
      </c>
      <c r="D319" s="1" t="s">
        <v>7</v>
      </c>
      <c r="E319" s="12">
        <v>991276.99199999997</v>
      </c>
      <c r="F319" s="12">
        <v>370285.52227800002</v>
      </c>
      <c r="G319" s="2">
        <f t="shared" si="4"/>
        <v>37.35439491346532</v>
      </c>
      <c r="H319" s="30">
        <v>0.27043964161112294</v>
      </c>
    </row>
    <row r="320" spans="1:8" ht="14.1" customHeight="1">
      <c r="A320" s="29" t="s">
        <v>281</v>
      </c>
      <c r="B320" s="1" t="s">
        <v>963</v>
      </c>
      <c r="C320" s="1" t="s">
        <v>964</v>
      </c>
      <c r="D320" s="1" t="s">
        <v>317</v>
      </c>
      <c r="E320" s="12">
        <v>3627233.4959999998</v>
      </c>
      <c r="F320" s="12">
        <v>0</v>
      </c>
      <c r="G320" s="2">
        <f t="shared" si="4"/>
        <v>0</v>
      </c>
      <c r="H320" s="30">
        <v>0</v>
      </c>
    </row>
    <row r="321" spans="1:8" ht="14.1" customHeight="1">
      <c r="A321" s="29" t="s">
        <v>267</v>
      </c>
      <c r="B321" s="1" t="s">
        <v>965</v>
      </c>
      <c r="C321" s="1" t="s">
        <v>966</v>
      </c>
      <c r="D321" s="1" t="s">
        <v>73</v>
      </c>
      <c r="E321" s="12">
        <v>614728.80000000005</v>
      </c>
      <c r="F321" s="12">
        <v>146654.94715638406</v>
      </c>
      <c r="G321" s="2">
        <f t="shared" si="4"/>
        <v>23.856853161326434</v>
      </c>
      <c r="H321" s="30">
        <v>0.10711007847531798</v>
      </c>
    </row>
    <row r="322" spans="1:8" ht="14.1" customHeight="1">
      <c r="A322" s="29" t="s">
        <v>145</v>
      </c>
      <c r="B322" s="1" t="s">
        <v>967</v>
      </c>
      <c r="C322" s="1" t="s">
        <v>968</v>
      </c>
      <c r="D322" s="1" t="s">
        <v>317</v>
      </c>
      <c r="E322" s="12">
        <v>260805.51</v>
      </c>
      <c r="F322" s="12">
        <v>0</v>
      </c>
      <c r="G322" s="2">
        <f t="shared" si="4"/>
        <v>0</v>
      </c>
      <c r="H322" s="30">
        <v>0</v>
      </c>
    </row>
    <row r="323" spans="1:8" ht="14.1" customHeight="1">
      <c r="A323" s="29" t="s">
        <v>239</v>
      </c>
      <c r="B323" s="1" t="s">
        <v>969</v>
      </c>
      <c r="C323" s="1" t="s">
        <v>970</v>
      </c>
      <c r="D323" s="1" t="s">
        <v>10</v>
      </c>
      <c r="E323" s="12">
        <v>150795.42199999999</v>
      </c>
      <c r="F323" s="12">
        <v>17085.089161918</v>
      </c>
      <c r="G323" s="2">
        <f t="shared" si="4"/>
        <v>11.329978679271841</v>
      </c>
      <c r="H323" s="30">
        <v>1.2478169174473565E-2</v>
      </c>
    </row>
    <row r="324" spans="1:8" ht="14.1" customHeight="1">
      <c r="A324" s="29" t="s">
        <v>201</v>
      </c>
      <c r="B324" s="1" t="s">
        <v>971</v>
      </c>
      <c r="C324" s="1" t="s">
        <v>972</v>
      </c>
      <c r="D324" s="1" t="s">
        <v>7</v>
      </c>
      <c r="E324" s="12">
        <v>4741854.3789999997</v>
      </c>
      <c r="F324" s="12">
        <v>332469.4443721</v>
      </c>
      <c r="G324" s="2">
        <f t="shared" ref="G324:G387" si="5">F324/E324*100</f>
        <v>7.0113803124045706</v>
      </c>
      <c r="H324" s="30">
        <v>0.2428205046459683</v>
      </c>
    </row>
    <row r="325" spans="1:8" ht="14.1" customHeight="1">
      <c r="A325" s="29" t="s">
        <v>259</v>
      </c>
      <c r="B325" s="1" t="s">
        <v>973</v>
      </c>
      <c r="C325" s="1" t="s">
        <v>974</v>
      </c>
      <c r="D325" s="1" t="s">
        <v>975</v>
      </c>
      <c r="E325" s="12">
        <v>12962073.096999999</v>
      </c>
      <c r="F325" s="12">
        <v>3010424.4000940099</v>
      </c>
      <c r="G325" s="2">
        <f t="shared" si="5"/>
        <v>23.224868256534954</v>
      </c>
      <c r="H325" s="30">
        <v>2.1986765532992449</v>
      </c>
    </row>
    <row r="326" spans="1:8" ht="14.1" customHeight="1">
      <c r="A326" s="29" t="s">
        <v>135</v>
      </c>
      <c r="B326" s="1" t="s">
        <v>976</v>
      </c>
      <c r="C326" s="1" t="s">
        <v>977</v>
      </c>
      <c r="D326" s="1" t="s">
        <v>311</v>
      </c>
      <c r="E326" s="12">
        <v>713114.18</v>
      </c>
      <c r="F326" s="12">
        <v>529891.03047080804</v>
      </c>
      <c r="G326" s="2">
        <f t="shared" si="5"/>
        <v>74.30661811700449</v>
      </c>
      <c r="H326" s="30">
        <v>0.38700821866290969</v>
      </c>
    </row>
    <row r="327" spans="1:8" ht="14.1" customHeight="1">
      <c r="A327" s="29" t="s">
        <v>267</v>
      </c>
      <c r="B327" s="1" t="s">
        <v>978</v>
      </c>
      <c r="C327" s="1" t="s">
        <v>979</v>
      </c>
      <c r="D327" s="1" t="s">
        <v>28</v>
      </c>
      <c r="E327" s="12">
        <v>563865.647</v>
      </c>
      <c r="F327" s="12">
        <v>24526.414056363934</v>
      </c>
      <c r="G327" s="2">
        <f t="shared" si="5"/>
        <v>4.3496911342009694</v>
      </c>
      <c r="H327" s="30">
        <v>1.7912973174331305E-2</v>
      </c>
    </row>
    <row r="328" spans="1:8" ht="14.1" customHeight="1">
      <c r="A328" s="29" t="s">
        <v>141</v>
      </c>
      <c r="B328" s="1" t="s">
        <v>980</v>
      </c>
      <c r="C328" s="1" t="s">
        <v>981</v>
      </c>
      <c r="D328" s="1" t="s">
        <v>28</v>
      </c>
      <c r="E328" s="12">
        <v>1009244.0379999999</v>
      </c>
      <c r="F328" s="12">
        <v>21471.990013312501</v>
      </c>
      <c r="G328" s="2">
        <f t="shared" si="5"/>
        <v>2.1275320145426018</v>
      </c>
      <c r="H328" s="30">
        <v>1.5682161290438472E-2</v>
      </c>
    </row>
    <row r="329" spans="1:8" ht="14.1" customHeight="1">
      <c r="A329" s="29" t="s">
        <v>289</v>
      </c>
      <c r="B329" s="1" t="s">
        <v>982</v>
      </c>
      <c r="C329" s="1" t="s">
        <v>983</v>
      </c>
      <c r="D329" s="1" t="s">
        <v>58</v>
      </c>
      <c r="E329" s="12">
        <v>1131822.091</v>
      </c>
      <c r="F329" s="12">
        <v>180267.03582454161</v>
      </c>
      <c r="G329" s="2">
        <f t="shared" si="5"/>
        <v>15.927152973774358</v>
      </c>
      <c r="H329" s="30">
        <v>0.13165881361704262</v>
      </c>
    </row>
    <row r="330" spans="1:8" ht="14.1" customHeight="1">
      <c r="A330" s="29" t="s">
        <v>263</v>
      </c>
      <c r="B330" s="1" t="s">
        <v>984</v>
      </c>
      <c r="C330" s="1" t="s">
        <v>985</v>
      </c>
      <c r="D330" s="1" t="s">
        <v>324</v>
      </c>
      <c r="E330" s="12">
        <v>1734516.9280000001</v>
      </c>
      <c r="F330" s="12">
        <v>720312.31144554971</v>
      </c>
      <c r="G330" s="2">
        <f t="shared" si="5"/>
        <v>41.528122315653157</v>
      </c>
      <c r="H330" s="30">
        <v>0.52608322938741015</v>
      </c>
    </row>
    <row r="331" spans="1:8" ht="14.1" customHeight="1">
      <c r="A331" s="29" t="s">
        <v>249</v>
      </c>
      <c r="B331" s="1" t="s">
        <v>986</v>
      </c>
      <c r="C331" s="1" t="s">
        <v>987</v>
      </c>
      <c r="D331" s="1" t="s">
        <v>319</v>
      </c>
      <c r="E331" s="12">
        <v>7728295.5839999998</v>
      </c>
      <c r="F331" s="12">
        <v>273263.18862616998</v>
      </c>
      <c r="G331" s="2">
        <f t="shared" si="5"/>
        <v>3.5358791036915131</v>
      </c>
      <c r="H331" s="30">
        <v>0.19957895826694283</v>
      </c>
    </row>
    <row r="332" spans="1:8" ht="14.1" customHeight="1">
      <c r="A332" s="29" t="s">
        <v>233</v>
      </c>
      <c r="B332" s="1" t="s">
        <v>988</v>
      </c>
      <c r="C332" s="1" t="s">
        <v>989</v>
      </c>
      <c r="D332" s="1" t="s">
        <v>322</v>
      </c>
      <c r="E332" s="12">
        <v>5439224.0080000004</v>
      </c>
      <c r="F332" s="12">
        <v>813548.64720100188</v>
      </c>
      <c r="G332" s="2">
        <f t="shared" si="5"/>
        <v>14.957071927988922</v>
      </c>
      <c r="H332" s="30">
        <v>0.59417879270221952</v>
      </c>
    </row>
    <row r="333" spans="1:8" ht="14.1" customHeight="1">
      <c r="A333" s="29" t="s">
        <v>165</v>
      </c>
      <c r="B333" s="1" t="s">
        <v>990</v>
      </c>
      <c r="C333" s="1" t="s">
        <v>991</v>
      </c>
      <c r="D333" s="1" t="s">
        <v>7</v>
      </c>
      <c r="E333" s="12">
        <v>6010838.3530000001</v>
      </c>
      <c r="F333" s="12">
        <v>996261.69840486243</v>
      </c>
      <c r="G333" s="2">
        <f t="shared" si="5"/>
        <v>16.574421734492823</v>
      </c>
      <c r="H333" s="30">
        <v>0.72762406428955695</v>
      </c>
    </row>
    <row r="334" spans="1:8" ht="14.1" customHeight="1">
      <c r="A334" s="29" t="s">
        <v>143</v>
      </c>
      <c r="B334" s="1" t="s">
        <v>992</v>
      </c>
      <c r="C334" s="1" t="s">
        <v>993</v>
      </c>
      <c r="D334" s="1" t="s">
        <v>28</v>
      </c>
      <c r="E334" s="12">
        <v>4264666.2759999996</v>
      </c>
      <c r="F334" s="12">
        <v>97276.211714747711</v>
      </c>
      <c r="G334" s="2">
        <f t="shared" si="5"/>
        <v>2.2809806305872762</v>
      </c>
      <c r="H334" s="30">
        <v>7.104610429157765E-2</v>
      </c>
    </row>
    <row r="335" spans="1:8" ht="14.1" customHeight="1">
      <c r="A335" s="29" t="s">
        <v>187</v>
      </c>
      <c r="B335" s="1" t="s">
        <v>994</v>
      </c>
      <c r="C335" s="1" t="s">
        <v>995</v>
      </c>
      <c r="D335" s="1" t="s">
        <v>31</v>
      </c>
      <c r="E335" s="12">
        <v>728317.28599999996</v>
      </c>
      <c r="F335" s="12">
        <v>26918.67932612788</v>
      </c>
      <c r="G335" s="2">
        <f t="shared" si="5"/>
        <v>3.6960099456060256</v>
      </c>
      <c r="H335" s="30">
        <v>1.9660174518347059E-2</v>
      </c>
    </row>
    <row r="336" spans="1:8" ht="14.1" customHeight="1">
      <c r="A336" s="29" t="s">
        <v>267</v>
      </c>
      <c r="B336" s="1" t="s">
        <v>996</v>
      </c>
      <c r="C336" s="1" t="s">
        <v>997</v>
      </c>
      <c r="D336" s="1" t="s">
        <v>28</v>
      </c>
      <c r="E336" s="12">
        <v>220.26599999999999</v>
      </c>
      <c r="F336" s="12">
        <v>171.58742420300001</v>
      </c>
      <c r="G336" s="2">
        <f t="shared" si="5"/>
        <v>77.900095431432916</v>
      </c>
      <c r="H336" s="30">
        <v>1.2531962152059563E-4</v>
      </c>
    </row>
    <row r="337" spans="1:8" ht="14.1" customHeight="1">
      <c r="A337" s="29" t="s">
        <v>213</v>
      </c>
      <c r="B337" s="1" t="s">
        <v>998</v>
      </c>
      <c r="C337" s="1" t="s">
        <v>999</v>
      </c>
      <c r="D337" s="1" t="s">
        <v>7</v>
      </c>
      <c r="E337" s="12">
        <v>2610275.389</v>
      </c>
      <c r="F337" s="12">
        <v>444461.45020723966</v>
      </c>
      <c r="G337" s="2">
        <f t="shared" si="5"/>
        <v>17.027377727279323</v>
      </c>
      <c r="H337" s="30">
        <v>0.32461435317409754</v>
      </c>
    </row>
    <row r="338" spans="1:8" ht="14.1" customHeight="1">
      <c r="A338" s="29" t="s">
        <v>291</v>
      </c>
      <c r="B338" s="1" t="s">
        <v>1000</v>
      </c>
      <c r="C338" s="1" t="s">
        <v>1001</v>
      </c>
      <c r="D338" s="1" t="s">
        <v>58</v>
      </c>
      <c r="E338" s="12">
        <v>757227.52599999995</v>
      </c>
      <c r="F338" s="12">
        <v>414200.78647515789</v>
      </c>
      <c r="G338" s="2">
        <f t="shared" si="5"/>
        <v>54.699647365322789</v>
      </c>
      <c r="H338" s="30">
        <v>0.30251334581017791</v>
      </c>
    </row>
    <row r="339" spans="1:8" ht="14.1" customHeight="1">
      <c r="A339" s="29" t="s">
        <v>225</v>
      </c>
      <c r="B339" s="1" t="s">
        <v>1002</v>
      </c>
      <c r="C339" s="1" t="s">
        <v>1003</v>
      </c>
      <c r="D339" s="1" t="s">
        <v>28</v>
      </c>
      <c r="E339" s="12">
        <v>4720994.7520000003</v>
      </c>
      <c r="F339" s="12">
        <v>33495.822192849002</v>
      </c>
      <c r="G339" s="2">
        <f t="shared" si="5"/>
        <v>0.70950771929282164</v>
      </c>
      <c r="H339" s="30">
        <v>2.4463819415826468E-2</v>
      </c>
    </row>
    <row r="340" spans="1:8" ht="14.1" customHeight="1">
      <c r="A340" s="29" t="s">
        <v>183</v>
      </c>
      <c r="B340" s="1" t="s">
        <v>1004</v>
      </c>
      <c r="C340" s="1" t="s">
        <v>1005</v>
      </c>
      <c r="D340" s="1" t="s">
        <v>31</v>
      </c>
      <c r="E340" s="12">
        <v>438470.42499999999</v>
      </c>
      <c r="F340" s="12">
        <v>30178.638302173007</v>
      </c>
      <c r="G340" s="2">
        <f t="shared" si="5"/>
        <v>6.8827078364915959</v>
      </c>
      <c r="H340" s="30">
        <v>2.204109973444749E-2</v>
      </c>
    </row>
    <row r="341" spans="1:8" ht="14.1" customHeight="1">
      <c r="A341" s="29" t="s">
        <v>225</v>
      </c>
      <c r="B341" s="1" t="s">
        <v>1006</v>
      </c>
      <c r="C341" s="1" t="s">
        <v>1007</v>
      </c>
      <c r="D341" s="1" t="s">
        <v>28</v>
      </c>
      <c r="E341" s="12">
        <v>3715453.6540000001</v>
      </c>
      <c r="F341" s="12">
        <v>290508.87005504314</v>
      </c>
      <c r="G341" s="2">
        <f t="shared" si="5"/>
        <v>7.8189340282117579</v>
      </c>
      <c r="H341" s="30">
        <v>0.21217441670202181</v>
      </c>
    </row>
    <row r="342" spans="1:8" ht="14.1" customHeight="1">
      <c r="A342" s="29" t="s">
        <v>227</v>
      </c>
      <c r="B342" s="1" t="s">
        <v>1008</v>
      </c>
      <c r="C342" s="1" t="s">
        <v>1009</v>
      </c>
      <c r="D342" s="1" t="s">
        <v>28</v>
      </c>
      <c r="E342" s="12">
        <v>1333519.446</v>
      </c>
      <c r="F342" s="12">
        <v>11347.941674</v>
      </c>
      <c r="G342" s="2">
        <f t="shared" si="5"/>
        <v>0.85097684237294569</v>
      </c>
      <c r="H342" s="30">
        <v>8.2880185551419353E-3</v>
      </c>
    </row>
    <row r="343" spans="1:8" ht="14.1" customHeight="1">
      <c r="A343" s="29" t="s">
        <v>183</v>
      </c>
      <c r="B343" s="1" t="s">
        <v>1010</v>
      </c>
      <c r="C343" s="1" t="s">
        <v>1011</v>
      </c>
      <c r="D343" s="1" t="s">
        <v>31</v>
      </c>
      <c r="E343" s="12">
        <v>1093789.2709999999</v>
      </c>
      <c r="F343" s="12">
        <v>8339.1565563625445</v>
      </c>
      <c r="G343" s="2">
        <f t="shared" si="5"/>
        <v>0.76240979660903485</v>
      </c>
      <c r="H343" s="30">
        <v>6.0905392589142675E-3</v>
      </c>
    </row>
    <row r="344" spans="1:8" ht="14.1" customHeight="1">
      <c r="A344" s="29" t="s">
        <v>239</v>
      </c>
      <c r="B344" s="1" t="s">
        <v>1012</v>
      </c>
      <c r="C344" s="1" t="s">
        <v>1013</v>
      </c>
      <c r="D344" s="1" t="s">
        <v>73</v>
      </c>
      <c r="E344" s="12">
        <v>267998.52399999998</v>
      </c>
      <c r="F344" s="12">
        <v>38199.610601913781</v>
      </c>
      <c r="G344" s="2">
        <f t="shared" si="5"/>
        <v>14.253664547015857</v>
      </c>
      <c r="H344" s="30">
        <v>2.7899251737717207E-2</v>
      </c>
    </row>
    <row r="345" spans="1:8" ht="14.1" customHeight="1">
      <c r="A345" s="29" t="s">
        <v>149</v>
      </c>
      <c r="B345" s="1" t="s">
        <v>1014</v>
      </c>
      <c r="C345" s="1" t="s">
        <v>1015</v>
      </c>
      <c r="D345" s="1" t="s">
        <v>28</v>
      </c>
      <c r="E345" s="12">
        <v>512498.27</v>
      </c>
      <c r="F345" s="12">
        <v>150177.05362544543</v>
      </c>
      <c r="G345" s="2">
        <f t="shared" si="5"/>
        <v>29.302938647079806</v>
      </c>
      <c r="H345" s="30">
        <v>0.10968246425305316</v>
      </c>
    </row>
    <row r="346" spans="1:8" ht="14.1" customHeight="1">
      <c r="A346" s="29" t="s">
        <v>259</v>
      </c>
      <c r="B346" s="1" t="s">
        <v>1016</v>
      </c>
      <c r="C346" s="1" t="s">
        <v>1017</v>
      </c>
      <c r="D346" s="1" t="s">
        <v>312</v>
      </c>
      <c r="E346" s="12">
        <v>7482820.5250000004</v>
      </c>
      <c r="F346" s="12">
        <v>1395140.5797441606</v>
      </c>
      <c r="G346" s="2">
        <f t="shared" si="5"/>
        <v>18.64458161308313</v>
      </c>
      <c r="H346" s="30">
        <v>1.0189469900469883</v>
      </c>
    </row>
    <row r="347" spans="1:8" ht="14.1" customHeight="1">
      <c r="A347" s="29" t="s">
        <v>265</v>
      </c>
      <c r="B347" s="1" t="s">
        <v>1018</v>
      </c>
      <c r="C347" s="1" t="s">
        <v>1019</v>
      </c>
      <c r="D347" s="1" t="s">
        <v>36</v>
      </c>
      <c r="E347" s="12">
        <v>342045.20799999998</v>
      </c>
      <c r="F347" s="12">
        <v>5868.7350304988931</v>
      </c>
      <c r="G347" s="2">
        <f t="shared" si="5"/>
        <v>1.7157775911594977</v>
      </c>
      <c r="H347" s="30">
        <v>4.2862561533453204E-3</v>
      </c>
    </row>
    <row r="348" spans="1:8" ht="14.1" customHeight="1">
      <c r="A348" s="29" t="s">
        <v>161</v>
      </c>
      <c r="B348" s="1" t="s">
        <v>1020</v>
      </c>
      <c r="C348" s="1" t="s">
        <v>1021</v>
      </c>
      <c r="D348" s="1" t="s">
        <v>314</v>
      </c>
      <c r="E348" s="12">
        <v>8945359.9360000007</v>
      </c>
      <c r="F348" s="12">
        <v>541695.27466670901</v>
      </c>
      <c r="G348" s="2">
        <f t="shared" si="5"/>
        <v>6.055600652654487</v>
      </c>
      <c r="H348" s="30">
        <v>0.39562949974943545</v>
      </c>
    </row>
    <row r="349" spans="1:8" ht="14.1" customHeight="1">
      <c r="A349" s="29" t="s">
        <v>267</v>
      </c>
      <c r="B349" s="1" t="s">
        <v>1022</v>
      </c>
      <c r="C349" s="1" t="s">
        <v>1023</v>
      </c>
      <c r="D349" s="1" t="s">
        <v>73</v>
      </c>
      <c r="E349" s="12">
        <v>351122.65299999999</v>
      </c>
      <c r="F349" s="12">
        <v>58163.664058752373</v>
      </c>
      <c r="G349" s="2">
        <f t="shared" si="5"/>
        <v>16.565055988783602</v>
      </c>
      <c r="H349" s="30">
        <v>4.2480085005941116E-2</v>
      </c>
    </row>
    <row r="350" spans="1:8" ht="14.1" customHeight="1">
      <c r="A350" s="29" t="s">
        <v>279</v>
      </c>
      <c r="B350" s="1" t="s">
        <v>1024</v>
      </c>
      <c r="C350" s="1" t="s">
        <v>1025</v>
      </c>
      <c r="D350" s="1" t="s">
        <v>10</v>
      </c>
      <c r="E350" s="12">
        <v>153838.60800000001</v>
      </c>
      <c r="F350" s="12">
        <v>50571.257345165672</v>
      </c>
      <c r="G350" s="2">
        <f t="shared" si="5"/>
        <v>32.872929625809974</v>
      </c>
      <c r="H350" s="30">
        <v>3.693493774240128E-2</v>
      </c>
    </row>
    <row r="351" spans="1:8" ht="14.1" customHeight="1">
      <c r="A351" s="29" t="s">
        <v>225</v>
      </c>
      <c r="B351" s="1" t="s">
        <v>1026</v>
      </c>
      <c r="C351" s="1" t="s">
        <v>1027</v>
      </c>
      <c r="D351" s="1" t="s">
        <v>317</v>
      </c>
      <c r="E351" s="12">
        <v>1153283.031</v>
      </c>
      <c r="F351" s="12">
        <v>0</v>
      </c>
      <c r="G351" s="2">
        <f t="shared" si="5"/>
        <v>0</v>
      </c>
      <c r="H351" s="30">
        <v>0</v>
      </c>
    </row>
    <row r="352" spans="1:8" ht="14.1" customHeight="1">
      <c r="A352" s="29" t="s">
        <v>143</v>
      </c>
      <c r="B352" s="1" t="s">
        <v>1028</v>
      </c>
      <c r="C352" s="1" t="s">
        <v>1029</v>
      </c>
      <c r="D352" s="1" t="s">
        <v>10</v>
      </c>
      <c r="E352" s="12">
        <v>203893.87400000001</v>
      </c>
      <c r="F352" s="12">
        <v>4124.9869815327002</v>
      </c>
      <c r="G352" s="2">
        <f t="shared" si="5"/>
        <v>2.0231049126727072</v>
      </c>
      <c r="H352" s="30">
        <v>3.0127021820170433E-3</v>
      </c>
    </row>
    <row r="353" spans="1:8" ht="14.1" customHeight="1">
      <c r="A353" s="29" t="s">
        <v>183</v>
      </c>
      <c r="B353" s="1" t="s">
        <v>1030</v>
      </c>
      <c r="C353" s="1" t="s">
        <v>1031</v>
      </c>
      <c r="D353" s="1" t="s">
        <v>31</v>
      </c>
      <c r="E353" s="12">
        <v>1096175.3640000001</v>
      </c>
      <c r="F353" s="12">
        <v>212404.24600609511</v>
      </c>
      <c r="G353" s="2">
        <f t="shared" si="5"/>
        <v>19.376849086538595</v>
      </c>
      <c r="H353" s="30">
        <v>0.15513036484165565</v>
      </c>
    </row>
    <row r="354" spans="1:8" ht="14.1" customHeight="1">
      <c r="A354" s="29" t="s">
        <v>201</v>
      </c>
      <c r="B354" s="1" t="s">
        <v>1032</v>
      </c>
      <c r="C354" s="1" t="s">
        <v>1033</v>
      </c>
      <c r="D354" s="1" t="s">
        <v>31</v>
      </c>
      <c r="E354" s="12">
        <v>3663148.9739999999</v>
      </c>
      <c r="F354" s="12">
        <v>1628024.1481412333</v>
      </c>
      <c r="G354" s="2">
        <f t="shared" si="5"/>
        <v>44.44329618305153</v>
      </c>
      <c r="H354" s="30">
        <v>1.1890345170638814</v>
      </c>
    </row>
    <row r="355" spans="1:8" ht="14.1" customHeight="1">
      <c r="A355" s="29" t="s">
        <v>305</v>
      </c>
      <c r="B355" s="1" t="s">
        <v>1034</v>
      </c>
      <c r="C355" s="1" t="s">
        <v>1035</v>
      </c>
      <c r="D355" s="1" t="s">
        <v>7</v>
      </c>
      <c r="E355" s="12">
        <v>3498943.4890000001</v>
      </c>
      <c r="F355" s="12">
        <v>897301.58373516193</v>
      </c>
      <c r="G355" s="2">
        <f t="shared" si="5"/>
        <v>25.644929292402242</v>
      </c>
      <c r="H355" s="30">
        <v>0.65534811415133709</v>
      </c>
    </row>
    <row r="356" spans="1:8" ht="14.1" customHeight="1">
      <c r="A356" s="29" t="s">
        <v>281</v>
      </c>
      <c r="B356" s="1" t="s">
        <v>1036</v>
      </c>
      <c r="C356" s="1" t="s">
        <v>1037</v>
      </c>
      <c r="D356" s="1" t="s">
        <v>319</v>
      </c>
      <c r="E356" s="12">
        <v>20769151.078000002</v>
      </c>
      <c r="F356" s="12">
        <v>11582870.153110901</v>
      </c>
      <c r="G356" s="2">
        <f t="shared" si="5"/>
        <v>55.769588798360701</v>
      </c>
      <c r="H356" s="30">
        <v>8.4595995915922302</v>
      </c>
    </row>
    <row r="357" spans="1:8" ht="14.1" customHeight="1">
      <c r="A357" s="29" t="s">
        <v>143</v>
      </c>
      <c r="B357" s="1" t="s">
        <v>1038</v>
      </c>
      <c r="C357" s="1" t="s">
        <v>1039</v>
      </c>
      <c r="D357" s="1" t="s">
        <v>28</v>
      </c>
      <c r="E357" s="12">
        <v>511338.78200000001</v>
      </c>
      <c r="F357" s="12">
        <v>863.86202214299999</v>
      </c>
      <c r="G357" s="2">
        <f t="shared" si="5"/>
        <v>0.16894122889802635</v>
      </c>
      <c r="H357" s="30">
        <v>6.3092538490990631E-4</v>
      </c>
    </row>
    <row r="358" spans="1:8" ht="14.1" customHeight="1">
      <c r="A358" s="29" t="s">
        <v>143</v>
      </c>
      <c r="B358" s="1" t="s">
        <v>1040</v>
      </c>
      <c r="C358" s="1" t="s">
        <v>1041</v>
      </c>
      <c r="D358" s="1" t="s">
        <v>28</v>
      </c>
      <c r="E358" s="12">
        <v>652004.84100000001</v>
      </c>
      <c r="F358" s="12">
        <v>568.88134771429998</v>
      </c>
      <c r="G358" s="2">
        <f t="shared" si="5"/>
        <v>8.725109262099788E-2</v>
      </c>
      <c r="H358" s="30">
        <v>4.1548496643517991E-4</v>
      </c>
    </row>
    <row r="359" spans="1:8" ht="14.1" customHeight="1">
      <c r="A359" s="29" t="s">
        <v>239</v>
      </c>
      <c r="B359" s="1" t="s">
        <v>1042</v>
      </c>
      <c r="C359" s="1" t="s">
        <v>1043</v>
      </c>
      <c r="D359" s="1" t="s">
        <v>73</v>
      </c>
      <c r="E359" s="12">
        <v>139242.231</v>
      </c>
      <c r="F359" s="12">
        <v>4416.3695201236696</v>
      </c>
      <c r="G359" s="2">
        <f t="shared" si="5"/>
        <v>3.1717170059733313</v>
      </c>
      <c r="H359" s="30">
        <v>3.2255146863339667E-3</v>
      </c>
    </row>
    <row r="360" spans="1:8" ht="14.1" customHeight="1">
      <c r="A360" s="29" t="s">
        <v>227</v>
      </c>
      <c r="B360" s="1" t="s">
        <v>1044</v>
      </c>
      <c r="C360" s="1" t="s">
        <v>1045</v>
      </c>
      <c r="D360" s="1" t="s">
        <v>28</v>
      </c>
      <c r="E360" s="12">
        <v>802891.76300000004</v>
      </c>
      <c r="F360" s="12">
        <v>168424.74266177849</v>
      </c>
      <c r="G360" s="2">
        <f t="shared" si="5"/>
        <v>20.977266229816642</v>
      </c>
      <c r="H360" s="30">
        <v>0.12300974330208966</v>
      </c>
    </row>
    <row r="361" spans="1:8" ht="14.1" customHeight="1">
      <c r="A361" s="29" t="s">
        <v>185</v>
      </c>
      <c r="B361" s="1" t="s">
        <v>1046</v>
      </c>
      <c r="C361" s="1" t="s">
        <v>1047</v>
      </c>
      <c r="D361" s="1" t="s">
        <v>31</v>
      </c>
      <c r="E361" s="12">
        <v>2505609.892</v>
      </c>
      <c r="F361" s="12">
        <v>3728.6073573600002</v>
      </c>
      <c r="G361" s="2">
        <f t="shared" si="5"/>
        <v>0.14881037025216215</v>
      </c>
      <c r="H361" s="30">
        <v>2.7232045996008012E-3</v>
      </c>
    </row>
    <row r="362" spans="1:8" ht="14.1" customHeight="1">
      <c r="A362" s="29" t="s">
        <v>211</v>
      </c>
      <c r="B362" s="1" t="s">
        <v>1048</v>
      </c>
      <c r="C362" s="1" t="s">
        <v>1049</v>
      </c>
      <c r="D362" s="1" t="s">
        <v>7</v>
      </c>
      <c r="E362" s="12">
        <v>12202.772000000001</v>
      </c>
      <c r="F362" s="12">
        <v>15.82341001707068</v>
      </c>
      <c r="G362" s="2">
        <f t="shared" si="5"/>
        <v>0.12967061924184667</v>
      </c>
      <c r="H362" s="30">
        <v>1.1556696323842998E-5</v>
      </c>
    </row>
    <row r="363" spans="1:8" ht="14.1" customHeight="1">
      <c r="A363" s="29" t="s">
        <v>239</v>
      </c>
      <c r="B363" s="1" t="s">
        <v>1050</v>
      </c>
      <c r="C363" s="1" t="s">
        <v>1051</v>
      </c>
      <c r="D363" s="1" t="s">
        <v>10</v>
      </c>
      <c r="E363" s="12">
        <v>78461.315000000002</v>
      </c>
      <c r="F363" s="12">
        <v>4619.3143251099</v>
      </c>
      <c r="G363" s="2">
        <f t="shared" si="5"/>
        <v>5.8873781622317951</v>
      </c>
      <c r="H363" s="30">
        <v>3.37373630728654E-3</v>
      </c>
    </row>
    <row r="364" spans="1:8" ht="14.1" customHeight="1">
      <c r="A364" s="29" t="s">
        <v>237</v>
      </c>
      <c r="B364" s="1" t="s">
        <v>1052</v>
      </c>
      <c r="C364" s="1" t="s">
        <v>1053</v>
      </c>
      <c r="D364" s="1" t="s">
        <v>31</v>
      </c>
      <c r="E364" s="12">
        <v>708060.64899999998</v>
      </c>
      <c r="F364" s="12">
        <v>87269.050065134128</v>
      </c>
      <c r="G364" s="2">
        <f t="shared" si="5"/>
        <v>12.325081218449993</v>
      </c>
      <c r="H364" s="30">
        <v>6.3737330258456723E-2</v>
      </c>
    </row>
    <row r="365" spans="1:8" ht="14.1" customHeight="1">
      <c r="A365" s="29" t="s">
        <v>295</v>
      </c>
      <c r="B365" s="1" t="s">
        <v>1054</v>
      </c>
      <c r="C365" s="1" t="s">
        <v>1055</v>
      </c>
      <c r="D365" s="1" t="s">
        <v>317</v>
      </c>
      <c r="E365" s="12">
        <v>748927.15899999999</v>
      </c>
      <c r="F365" s="12">
        <v>0</v>
      </c>
      <c r="G365" s="2">
        <f t="shared" si="5"/>
        <v>0</v>
      </c>
      <c r="H365" s="30">
        <v>0</v>
      </c>
    </row>
    <row r="366" spans="1:8" ht="14.1" customHeight="1">
      <c r="A366" s="29" t="s">
        <v>161</v>
      </c>
      <c r="B366" s="1" t="s">
        <v>1056</v>
      </c>
      <c r="C366" s="1" t="s">
        <v>1057</v>
      </c>
      <c r="D366" s="1" t="s">
        <v>28</v>
      </c>
      <c r="E366" s="12">
        <v>2825711.5109999999</v>
      </c>
      <c r="F366" s="12">
        <v>305345.68762470002</v>
      </c>
      <c r="G366" s="2">
        <f t="shared" si="5"/>
        <v>10.805975289269366</v>
      </c>
      <c r="H366" s="30">
        <v>0.22301055094108929</v>
      </c>
    </row>
    <row r="367" spans="1:8" ht="14.1" customHeight="1">
      <c r="A367" s="29" t="s">
        <v>243</v>
      </c>
      <c r="B367" s="1" t="s">
        <v>1058</v>
      </c>
      <c r="C367" s="1" t="s">
        <v>1059</v>
      </c>
      <c r="D367" s="1" t="s">
        <v>10</v>
      </c>
      <c r="E367" s="12">
        <v>227614.53700000001</v>
      </c>
      <c r="F367" s="12">
        <v>12230.84147354446</v>
      </c>
      <c r="G367" s="2">
        <f t="shared" si="5"/>
        <v>5.3734887212166331</v>
      </c>
      <c r="H367" s="30">
        <v>8.9328482635745356E-3</v>
      </c>
    </row>
    <row r="368" spans="1:8" ht="14.1" customHeight="1">
      <c r="A368" s="29" t="s">
        <v>193</v>
      </c>
      <c r="B368" s="1" t="s">
        <v>1060</v>
      </c>
      <c r="C368" s="1" t="s">
        <v>1061</v>
      </c>
      <c r="D368" s="1" t="s">
        <v>31</v>
      </c>
      <c r="E368" s="12">
        <v>1439093.4820000001</v>
      </c>
      <c r="F368" s="12">
        <v>730799.91766296769</v>
      </c>
      <c r="G368" s="2">
        <f t="shared" si="5"/>
        <v>50.781962867855427</v>
      </c>
      <c r="H368" s="30">
        <v>0.53374289820013709</v>
      </c>
    </row>
    <row r="369" spans="1:8" ht="14.1" customHeight="1">
      <c r="A369" s="29" t="s">
        <v>141</v>
      </c>
      <c r="B369" s="1" t="s">
        <v>1062</v>
      </c>
      <c r="C369" s="1" t="s">
        <v>1063</v>
      </c>
      <c r="D369" s="1" t="s">
        <v>28</v>
      </c>
      <c r="E369" s="12">
        <v>763495.01699999999</v>
      </c>
      <c r="F369" s="12">
        <v>81745.411265356292</v>
      </c>
      <c r="G369" s="2">
        <f t="shared" si="5"/>
        <v>10.706738019922964</v>
      </c>
      <c r="H369" s="30">
        <v>5.9703116638082712E-2</v>
      </c>
    </row>
    <row r="370" spans="1:8" ht="14.1" customHeight="1">
      <c r="A370" s="29" t="s">
        <v>219</v>
      </c>
      <c r="B370" s="1" t="s">
        <v>1064</v>
      </c>
      <c r="C370" s="1" t="s">
        <v>1065</v>
      </c>
      <c r="D370" s="1" t="s">
        <v>7</v>
      </c>
      <c r="E370" s="12">
        <v>10098579.842</v>
      </c>
      <c r="F370" s="12">
        <v>4868947.6340610003</v>
      </c>
      <c r="G370" s="2">
        <f t="shared" si="5"/>
        <v>48.21418169920333</v>
      </c>
      <c r="H370" s="30">
        <v>3.5560570801636633</v>
      </c>
    </row>
    <row r="371" spans="1:8" ht="14.1" customHeight="1">
      <c r="A371" s="29" t="s">
        <v>303</v>
      </c>
      <c r="B371" s="1" t="s">
        <v>1066</v>
      </c>
      <c r="C371" s="1" t="s">
        <v>1067</v>
      </c>
      <c r="D371" s="1" t="s">
        <v>28</v>
      </c>
      <c r="E371" s="12">
        <v>162957.54399999999</v>
      </c>
      <c r="F371" s="12">
        <v>100342.49684433144</v>
      </c>
      <c r="G371" s="2">
        <f t="shared" si="5"/>
        <v>61.575852446776835</v>
      </c>
      <c r="H371" s="30">
        <v>7.328557897160462E-2</v>
      </c>
    </row>
    <row r="372" spans="1:8" ht="14.1" customHeight="1">
      <c r="A372" s="29" t="s">
        <v>179</v>
      </c>
      <c r="B372" s="1" t="s">
        <v>1068</v>
      </c>
      <c r="C372" s="1" t="s">
        <v>1069</v>
      </c>
      <c r="D372" s="1" t="s">
        <v>28</v>
      </c>
      <c r="E372" s="12">
        <v>2076208.4580000001</v>
      </c>
      <c r="F372" s="12">
        <v>206641.94624310359</v>
      </c>
      <c r="G372" s="2">
        <f t="shared" si="5"/>
        <v>9.9528515764819012</v>
      </c>
      <c r="H372" s="30">
        <v>0.15092184414883386</v>
      </c>
    </row>
    <row r="373" spans="1:8" ht="14.1" customHeight="1">
      <c r="A373" s="29" t="s">
        <v>141</v>
      </c>
      <c r="B373" s="1" t="s">
        <v>1070</v>
      </c>
      <c r="C373" s="1" t="s">
        <v>1071</v>
      </c>
      <c r="D373" s="1" t="s">
        <v>28</v>
      </c>
      <c r="E373" s="12">
        <v>466275.28</v>
      </c>
      <c r="F373" s="12">
        <v>1053.6567978</v>
      </c>
      <c r="G373" s="2">
        <f t="shared" si="5"/>
        <v>0.22597311995609118</v>
      </c>
      <c r="H373" s="30">
        <v>7.6954282475084857E-4</v>
      </c>
    </row>
    <row r="374" spans="1:8" ht="14.1" customHeight="1">
      <c r="A374" s="29" t="s">
        <v>243</v>
      </c>
      <c r="B374" s="1" t="s">
        <v>1072</v>
      </c>
      <c r="C374" s="1" t="s">
        <v>1073</v>
      </c>
      <c r="D374" s="1" t="s">
        <v>10</v>
      </c>
      <c r="E374" s="12">
        <v>232750.31</v>
      </c>
      <c r="F374" s="12">
        <v>2760.4802579504999</v>
      </c>
      <c r="G374" s="2">
        <f t="shared" si="5"/>
        <v>1.1860264581174995</v>
      </c>
      <c r="H374" s="30">
        <v>2.0161287620481948E-3</v>
      </c>
    </row>
    <row r="375" spans="1:8" ht="14.1" customHeight="1">
      <c r="A375" s="29" t="s">
        <v>243</v>
      </c>
      <c r="B375" s="1" t="s">
        <v>1074</v>
      </c>
      <c r="C375" s="1" t="s">
        <v>1075</v>
      </c>
      <c r="D375" s="1" t="s">
        <v>10</v>
      </c>
      <c r="E375" s="12">
        <v>83180.937000000005</v>
      </c>
      <c r="F375" s="12">
        <v>61151.31911517719</v>
      </c>
      <c r="G375" s="2">
        <f t="shared" si="5"/>
        <v>73.516025811511582</v>
      </c>
      <c r="H375" s="30">
        <v>4.4662131870065007E-2</v>
      </c>
    </row>
    <row r="376" spans="1:8" ht="14.1" customHeight="1">
      <c r="A376" s="29" t="s">
        <v>229</v>
      </c>
      <c r="B376" s="1" t="s">
        <v>1076</v>
      </c>
      <c r="C376" s="1" t="s">
        <v>1077</v>
      </c>
      <c r="D376" s="1" t="s">
        <v>73</v>
      </c>
      <c r="E376" s="12">
        <v>2007349.7009999999</v>
      </c>
      <c r="F376" s="12">
        <v>21747.834930099998</v>
      </c>
      <c r="G376" s="2">
        <f t="shared" si="5"/>
        <v>1.0834103753454565</v>
      </c>
      <c r="H376" s="30">
        <v>1.5883625825096278E-2</v>
      </c>
    </row>
    <row r="377" spans="1:8" ht="14.1" customHeight="1">
      <c r="A377" s="29" t="s">
        <v>135</v>
      </c>
      <c r="B377" s="1" t="s">
        <v>1078</v>
      </c>
      <c r="C377" s="1" t="s">
        <v>1079</v>
      </c>
      <c r="D377" s="1" t="s">
        <v>36</v>
      </c>
      <c r="E377" s="12">
        <v>519866.34</v>
      </c>
      <c r="F377" s="12">
        <v>258795.35384294178</v>
      </c>
      <c r="G377" s="2">
        <f t="shared" si="5"/>
        <v>49.781132943314191</v>
      </c>
      <c r="H377" s="30">
        <v>0.18901231221069317</v>
      </c>
    </row>
    <row r="378" spans="1:8" ht="14.1" customHeight="1">
      <c r="A378" s="29" t="s">
        <v>257</v>
      </c>
      <c r="B378" s="1" t="s">
        <v>1080</v>
      </c>
      <c r="C378" s="1" t="s">
        <v>1081</v>
      </c>
      <c r="D378" s="1" t="s">
        <v>36</v>
      </c>
      <c r="E378" s="12">
        <v>1890626.5930000001</v>
      </c>
      <c r="F378" s="12">
        <v>48370.215275490533</v>
      </c>
      <c r="G378" s="2">
        <f t="shared" si="5"/>
        <v>2.558422453940937</v>
      </c>
      <c r="H378" s="30">
        <v>3.5327397094222626E-2</v>
      </c>
    </row>
    <row r="379" spans="1:8" ht="14.1" customHeight="1">
      <c r="A379" s="29" t="s">
        <v>269</v>
      </c>
      <c r="B379" s="1" t="s">
        <v>1082</v>
      </c>
      <c r="C379" s="1" t="s">
        <v>1083</v>
      </c>
      <c r="D379" s="1" t="s">
        <v>36</v>
      </c>
      <c r="E379" s="12">
        <v>2356146.6970000002</v>
      </c>
      <c r="F379" s="12">
        <v>46905.400792610475</v>
      </c>
      <c r="G379" s="2">
        <f t="shared" si="5"/>
        <v>1.9907674192075346</v>
      </c>
      <c r="H379" s="30">
        <v>3.4257563466000319E-2</v>
      </c>
    </row>
    <row r="380" spans="1:8" ht="14.1" customHeight="1">
      <c r="A380" s="29" t="s">
        <v>239</v>
      </c>
      <c r="B380" s="1" t="s">
        <v>1084</v>
      </c>
      <c r="C380" s="1" t="s">
        <v>1085</v>
      </c>
      <c r="D380" s="1" t="s">
        <v>10</v>
      </c>
      <c r="E380" s="12">
        <v>473824.79599999997</v>
      </c>
      <c r="F380" s="12">
        <v>52067.784713580193</v>
      </c>
      <c r="G380" s="2">
        <f t="shared" si="5"/>
        <v>10.988826493069432</v>
      </c>
      <c r="H380" s="30">
        <v>3.8027933014496765E-2</v>
      </c>
    </row>
    <row r="381" spans="1:8" ht="14.1" customHeight="1">
      <c r="A381" s="29" t="s">
        <v>171</v>
      </c>
      <c r="B381" s="1" t="s">
        <v>1086</v>
      </c>
      <c r="C381" s="1" t="s">
        <v>1087</v>
      </c>
      <c r="D381" s="1" t="s">
        <v>10</v>
      </c>
      <c r="E381" s="12">
        <v>1151637.2139999999</v>
      </c>
      <c r="F381" s="12">
        <v>12118.489725199999</v>
      </c>
      <c r="G381" s="2">
        <f t="shared" si="5"/>
        <v>1.0522836165660761</v>
      </c>
      <c r="H381" s="30">
        <v>8.8507916755401605E-3</v>
      </c>
    </row>
    <row r="382" spans="1:8" ht="14.1" customHeight="1">
      <c r="A382" s="29" t="s">
        <v>229</v>
      </c>
      <c r="B382" s="1" t="s">
        <v>1088</v>
      </c>
      <c r="C382" s="1" t="s">
        <v>1089</v>
      </c>
      <c r="D382" s="1" t="s">
        <v>73</v>
      </c>
      <c r="E382" s="12">
        <v>2492084.7570000002</v>
      </c>
      <c r="F382" s="12">
        <v>80451.075913549605</v>
      </c>
      <c r="G382" s="2">
        <f t="shared" si="5"/>
        <v>3.2282640342617208</v>
      </c>
      <c r="H382" s="30">
        <v>5.8757793184673675E-2</v>
      </c>
    </row>
    <row r="383" spans="1:8" ht="14.1" customHeight="1">
      <c r="A383" s="29" t="s">
        <v>229</v>
      </c>
      <c r="B383" s="1" t="s">
        <v>1090</v>
      </c>
      <c r="C383" s="1" t="s">
        <v>1091</v>
      </c>
      <c r="D383" s="1" t="s">
        <v>10</v>
      </c>
      <c r="E383" s="12">
        <v>479470.77299999999</v>
      </c>
      <c r="F383" s="12">
        <v>30365.043369790001</v>
      </c>
      <c r="G383" s="2">
        <f t="shared" si="5"/>
        <v>6.3330332274059185</v>
      </c>
      <c r="H383" s="30">
        <v>2.2177241486279173E-2</v>
      </c>
    </row>
    <row r="384" spans="1:8" ht="14.1" customHeight="1">
      <c r="A384" s="29" t="s">
        <v>301</v>
      </c>
      <c r="B384" s="1" t="s">
        <v>300</v>
      </c>
      <c r="C384" s="1" t="s">
        <v>1092</v>
      </c>
      <c r="D384" s="1" t="s">
        <v>7</v>
      </c>
      <c r="E384" s="12">
        <v>844771.08200000005</v>
      </c>
      <c r="F384" s="12">
        <v>395592.69041300419</v>
      </c>
      <c r="G384" s="2">
        <f t="shared" si="5"/>
        <v>46.828389233736125</v>
      </c>
      <c r="H384" s="30">
        <v>0.28892284192238071</v>
      </c>
    </row>
    <row r="385" spans="1:8" ht="14.1" customHeight="1">
      <c r="A385" s="29" t="s">
        <v>259</v>
      </c>
      <c r="B385" s="1" t="s">
        <v>1093</v>
      </c>
      <c r="C385" s="1" t="s">
        <v>1094</v>
      </c>
      <c r="D385" s="1" t="s">
        <v>31</v>
      </c>
      <c r="E385" s="12">
        <v>1032164.898</v>
      </c>
      <c r="F385" s="12">
        <v>4289.13536785</v>
      </c>
      <c r="G385" s="2">
        <f t="shared" si="5"/>
        <v>0.41554749402551372</v>
      </c>
      <c r="H385" s="30">
        <v>3.1325886698645657E-3</v>
      </c>
    </row>
    <row r="386" spans="1:8" ht="14.1" customHeight="1">
      <c r="A386" s="29" t="s">
        <v>261</v>
      </c>
      <c r="B386" s="1" t="s">
        <v>1095</v>
      </c>
      <c r="C386" s="1" t="s">
        <v>1096</v>
      </c>
      <c r="D386" s="1" t="s">
        <v>36</v>
      </c>
      <c r="E386" s="12">
        <v>264442.92</v>
      </c>
      <c r="F386" s="12">
        <v>15791.285277228664</v>
      </c>
      <c r="G386" s="2">
        <f t="shared" si="5"/>
        <v>5.9715288566729887</v>
      </c>
      <c r="H386" s="30">
        <v>1.1533233880385102E-2</v>
      </c>
    </row>
    <row r="387" spans="1:8" ht="14.1" customHeight="1">
      <c r="A387" s="29" t="s">
        <v>243</v>
      </c>
      <c r="B387" s="1" t="s">
        <v>1097</v>
      </c>
      <c r="C387" s="1" t="s">
        <v>1098</v>
      </c>
      <c r="D387" s="1" t="s">
        <v>10</v>
      </c>
      <c r="E387" s="12">
        <v>59376.618999999999</v>
      </c>
      <c r="F387" s="12">
        <v>46174.00300953805</v>
      </c>
      <c r="G387" s="2">
        <f t="shared" si="5"/>
        <v>77.764621474217066</v>
      </c>
      <c r="H387" s="30">
        <v>3.3723383914198192E-2</v>
      </c>
    </row>
    <row r="388" spans="1:8" ht="14.1" customHeight="1">
      <c r="A388" s="29" t="s">
        <v>221</v>
      </c>
      <c r="B388" s="1" t="s">
        <v>1099</v>
      </c>
      <c r="C388" s="1" t="s">
        <v>1100</v>
      </c>
      <c r="D388" s="1" t="s">
        <v>19</v>
      </c>
      <c r="E388" s="12">
        <v>1092782.2</v>
      </c>
      <c r="F388" s="12">
        <v>156823.29352158497</v>
      </c>
      <c r="G388" s="2">
        <f t="shared" ref="G388:G422" si="6">F388/E388*100</f>
        <v>14.350827962020702</v>
      </c>
      <c r="H388" s="30">
        <v>0.11453657446647944</v>
      </c>
    </row>
    <row r="389" spans="1:8" ht="14.1" customHeight="1">
      <c r="A389" s="29" t="s">
        <v>159</v>
      </c>
      <c r="B389" s="1" t="s">
        <v>1101</v>
      </c>
      <c r="C389" s="1" t="s">
        <v>1102</v>
      </c>
      <c r="D389" s="1" t="s">
        <v>31</v>
      </c>
      <c r="E389" s="12">
        <v>423360.37800000003</v>
      </c>
      <c r="F389" s="12">
        <v>312512.969706</v>
      </c>
      <c r="G389" s="2">
        <f t="shared" si="6"/>
        <v>73.817245530237116</v>
      </c>
      <c r="H389" s="30">
        <v>0.22824520658052136</v>
      </c>
    </row>
    <row r="390" spans="1:8" ht="14.1" customHeight="1">
      <c r="A390" s="29" t="s">
        <v>149</v>
      </c>
      <c r="B390" s="1" t="s">
        <v>1103</v>
      </c>
      <c r="C390" s="1" t="s">
        <v>1104</v>
      </c>
      <c r="D390" s="1" t="s">
        <v>28</v>
      </c>
      <c r="E390" s="12">
        <v>2848753.4649999999</v>
      </c>
      <c r="F390" s="12">
        <v>792477.60122077004</v>
      </c>
      <c r="G390" s="2">
        <f t="shared" si="6"/>
        <v>27.818398852593234</v>
      </c>
      <c r="H390" s="30">
        <v>0.57878946263009434</v>
      </c>
    </row>
    <row r="391" spans="1:8" ht="14.1" customHeight="1">
      <c r="A391" s="29" t="s">
        <v>207</v>
      </c>
      <c r="B391" s="1" t="s">
        <v>1105</v>
      </c>
      <c r="C391" s="1" t="s">
        <v>1106</v>
      </c>
      <c r="D391" s="1" t="s">
        <v>28</v>
      </c>
      <c r="E391" s="85">
        <v>124892.955498</v>
      </c>
      <c r="F391" s="12">
        <v>124892.955498</v>
      </c>
      <c r="G391" s="2">
        <f t="shared" si="6"/>
        <v>100</v>
      </c>
      <c r="H391" s="30">
        <v>9.1216113222150133E-2</v>
      </c>
    </row>
    <row r="392" spans="1:8" ht="14.1" customHeight="1">
      <c r="A392" s="29" t="s">
        <v>143</v>
      </c>
      <c r="B392" s="1" t="s">
        <v>1107</v>
      </c>
      <c r="C392" s="1" t="s">
        <v>1108</v>
      </c>
      <c r="D392" s="1" t="s">
        <v>28</v>
      </c>
      <c r="E392" s="12">
        <v>966510.25300000003</v>
      </c>
      <c r="F392" s="12">
        <v>1149.0514265199999</v>
      </c>
      <c r="G392" s="2">
        <f t="shared" si="6"/>
        <v>0.11888662566728093</v>
      </c>
      <c r="H392" s="30">
        <v>8.3921470671898609E-4</v>
      </c>
    </row>
    <row r="393" spans="1:8" ht="14.1" customHeight="1">
      <c r="A393" s="29" t="s">
        <v>131</v>
      </c>
      <c r="B393" s="1" t="s">
        <v>1109</v>
      </c>
      <c r="C393" s="1" t="s">
        <v>1110</v>
      </c>
      <c r="D393" s="1" t="s">
        <v>317</v>
      </c>
      <c r="E393" s="12">
        <v>52719.968000000001</v>
      </c>
      <c r="F393" s="12">
        <v>0</v>
      </c>
      <c r="G393" s="2">
        <f t="shared" si="6"/>
        <v>0</v>
      </c>
      <c r="H393" s="30">
        <v>0</v>
      </c>
    </row>
    <row r="394" spans="1:8" ht="14.1" customHeight="1">
      <c r="A394" s="29" t="s">
        <v>293</v>
      </c>
      <c r="B394" s="1" t="s">
        <v>1111</v>
      </c>
      <c r="C394" s="1" t="s">
        <v>1112</v>
      </c>
      <c r="D394" s="1" t="s">
        <v>58</v>
      </c>
      <c r="E394" s="12">
        <v>1565077.425</v>
      </c>
      <c r="F394" s="12">
        <v>1349558.2833422238</v>
      </c>
      <c r="G394" s="2">
        <f t="shared" si="6"/>
        <v>86.229490106038924</v>
      </c>
      <c r="H394" s="30">
        <v>0.98565576162705326</v>
      </c>
    </row>
    <row r="395" spans="1:8" ht="14.1" customHeight="1">
      <c r="A395" s="29" t="s">
        <v>229</v>
      </c>
      <c r="B395" s="1" t="s">
        <v>1113</v>
      </c>
      <c r="C395" s="1" t="s">
        <v>1114</v>
      </c>
      <c r="D395" s="1" t="s">
        <v>28</v>
      </c>
      <c r="E395" s="12">
        <v>1991193.544</v>
      </c>
      <c r="F395" s="12">
        <v>26835.145831240003</v>
      </c>
      <c r="G395" s="2">
        <f t="shared" si="6"/>
        <v>1.3476914844416552</v>
      </c>
      <c r="H395" s="30">
        <v>1.9599165467058682E-2</v>
      </c>
    </row>
    <row r="396" spans="1:8" ht="14.1" customHeight="1">
      <c r="A396" s="29" t="s">
        <v>229</v>
      </c>
      <c r="B396" s="1" t="s">
        <v>1115</v>
      </c>
      <c r="C396" s="1" t="s">
        <v>1116</v>
      </c>
      <c r="D396" s="1" t="s">
        <v>317</v>
      </c>
      <c r="E396" s="12">
        <v>2852103.9720000001</v>
      </c>
      <c r="F396" s="12">
        <v>0</v>
      </c>
      <c r="G396" s="2">
        <f t="shared" si="6"/>
        <v>0</v>
      </c>
      <c r="H396" s="30">
        <v>0</v>
      </c>
    </row>
    <row r="397" spans="1:8" ht="14.1" customHeight="1">
      <c r="A397" s="29" t="s">
        <v>229</v>
      </c>
      <c r="B397" s="1" t="s">
        <v>1117</v>
      </c>
      <c r="C397" s="1" t="s">
        <v>1118</v>
      </c>
      <c r="D397" s="1" t="s">
        <v>73</v>
      </c>
      <c r="E397" s="12">
        <v>4790086.5259999996</v>
      </c>
      <c r="F397" s="12">
        <v>63842.614400784296</v>
      </c>
      <c r="G397" s="2">
        <f t="shared" si="6"/>
        <v>1.3328071226741824</v>
      </c>
      <c r="H397" s="30">
        <v>4.6627731086668602E-2</v>
      </c>
    </row>
    <row r="398" spans="1:8" ht="14.1" customHeight="1">
      <c r="A398" s="29" t="s">
        <v>223</v>
      </c>
      <c r="B398" s="1" t="s">
        <v>1119</v>
      </c>
      <c r="C398" s="1" t="s">
        <v>1120</v>
      </c>
      <c r="D398" s="1" t="s">
        <v>7</v>
      </c>
      <c r="E398" s="12">
        <v>3981719.81</v>
      </c>
      <c r="F398" s="12">
        <v>398446.66501693078</v>
      </c>
      <c r="G398" s="2">
        <f t="shared" si="6"/>
        <v>10.006898627478531</v>
      </c>
      <c r="H398" s="30">
        <v>0.29100725468663047</v>
      </c>
    </row>
    <row r="399" spans="1:8" ht="14.1" customHeight="1">
      <c r="A399" s="29" t="s">
        <v>231</v>
      </c>
      <c r="B399" s="1" t="s">
        <v>1121</v>
      </c>
      <c r="C399" s="1" t="s">
        <v>1122</v>
      </c>
      <c r="D399" s="1" t="s">
        <v>7</v>
      </c>
      <c r="E399" s="12">
        <v>6985514.0410000002</v>
      </c>
      <c r="F399" s="12">
        <v>440932.80769958999</v>
      </c>
      <c r="G399" s="2">
        <f t="shared" si="6"/>
        <v>6.3121025183204544</v>
      </c>
      <c r="H399" s="30">
        <v>0.3220371937721534</v>
      </c>
    </row>
    <row r="400" spans="1:8" ht="14.1" customHeight="1">
      <c r="A400" s="29" t="s">
        <v>229</v>
      </c>
      <c r="B400" s="1" t="s">
        <v>1123</v>
      </c>
      <c r="C400" s="1" t="s">
        <v>1124</v>
      </c>
      <c r="D400" s="1" t="s">
        <v>10</v>
      </c>
      <c r="E400" s="12">
        <v>1074308.7080000001</v>
      </c>
      <c r="F400" s="12">
        <v>61310.202418099994</v>
      </c>
      <c r="G400" s="2">
        <f t="shared" si="6"/>
        <v>5.7069445645878529</v>
      </c>
      <c r="H400" s="30">
        <v>4.477817298135689E-2</v>
      </c>
    </row>
    <row r="401" spans="1:8" ht="14.1" customHeight="1">
      <c r="A401" s="29" t="s">
        <v>157</v>
      </c>
      <c r="B401" s="1" t="s">
        <v>1125</v>
      </c>
      <c r="C401" s="1" t="s">
        <v>1126</v>
      </c>
      <c r="D401" s="1" t="s">
        <v>28</v>
      </c>
      <c r="E401" s="12">
        <v>89179.335999999996</v>
      </c>
      <c r="F401" s="12">
        <v>65240.249550115688</v>
      </c>
      <c r="G401" s="2">
        <f t="shared" si="6"/>
        <v>73.156240533250539</v>
      </c>
      <c r="H401" s="30">
        <v>4.7648499996462805E-2</v>
      </c>
    </row>
    <row r="402" spans="1:8" ht="14.1" customHeight="1">
      <c r="A402" s="29" t="s">
        <v>171</v>
      </c>
      <c r="B402" s="1" t="s">
        <v>1127</v>
      </c>
      <c r="C402" s="1" t="s">
        <v>1128</v>
      </c>
      <c r="D402" s="1" t="s">
        <v>10</v>
      </c>
      <c r="E402" s="12">
        <v>504561.53</v>
      </c>
      <c r="F402" s="12">
        <v>56827.905363500002</v>
      </c>
      <c r="G402" s="2">
        <f t="shared" si="6"/>
        <v>11.262829602466917</v>
      </c>
      <c r="H402" s="30">
        <v>4.1504507833491522E-2</v>
      </c>
    </row>
    <row r="403" spans="1:8" ht="14.1" customHeight="1">
      <c r="A403" s="29" t="s">
        <v>189</v>
      </c>
      <c r="B403" s="1" t="s">
        <v>1129</v>
      </c>
      <c r="C403" s="1" t="s">
        <v>1130</v>
      </c>
      <c r="D403" s="1" t="s">
        <v>318</v>
      </c>
      <c r="E403" s="12">
        <v>41144.213000000003</v>
      </c>
      <c r="F403" s="12">
        <v>41078.005741307672</v>
      </c>
      <c r="G403" s="2">
        <f t="shared" si="6"/>
        <v>99.83908488250259</v>
      </c>
      <c r="H403" s="30">
        <v>3.0001500146253298E-2</v>
      </c>
    </row>
    <row r="404" spans="1:8" ht="14.1" customHeight="1">
      <c r="A404" s="29" t="s">
        <v>153</v>
      </c>
      <c r="B404" s="1" t="s">
        <v>1131</v>
      </c>
      <c r="C404" s="1" t="s">
        <v>1132</v>
      </c>
      <c r="D404" s="1" t="s">
        <v>19</v>
      </c>
      <c r="E404" s="12">
        <v>3137972.9109999998</v>
      </c>
      <c r="F404" s="12">
        <v>262712.37924335001</v>
      </c>
      <c r="G404" s="2">
        <f t="shared" si="6"/>
        <v>8.372041018022351</v>
      </c>
      <c r="H404" s="30">
        <v>0.19187312874748655</v>
      </c>
    </row>
    <row r="405" spans="1:8" ht="14.1" customHeight="1">
      <c r="A405" s="29" t="s">
        <v>233</v>
      </c>
      <c r="B405" s="1" t="s">
        <v>1133</v>
      </c>
      <c r="C405" s="1" t="s">
        <v>1134</v>
      </c>
      <c r="D405" s="1" t="s">
        <v>323</v>
      </c>
      <c r="E405" s="12">
        <v>2145379.5759999999</v>
      </c>
      <c r="F405" s="12">
        <v>48395.325102978371</v>
      </c>
      <c r="G405" s="2">
        <f t="shared" si="6"/>
        <v>2.2557931307060404</v>
      </c>
      <c r="H405" s="30">
        <v>3.5345736165933971E-2</v>
      </c>
    </row>
    <row r="406" spans="1:8" ht="14.1" customHeight="1">
      <c r="A406" s="29" t="s">
        <v>271</v>
      </c>
      <c r="B406" s="1" t="s">
        <v>1135</v>
      </c>
      <c r="C406" s="1" t="s">
        <v>1136</v>
      </c>
      <c r="D406" s="1" t="s">
        <v>31</v>
      </c>
      <c r="E406" s="12">
        <v>1677110.673</v>
      </c>
      <c r="F406" s="12">
        <v>556596.42911899998</v>
      </c>
      <c r="G406" s="2">
        <f t="shared" si="6"/>
        <v>33.187817481559847</v>
      </c>
      <c r="H406" s="30">
        <v>0.4065126227105435</v>
      </c>
    </row>
    <row r="407" spans="1:8" ht="14.1" customHeight="1">
      <c r="A407" s="29" t="s">
        <v>279</v>
      </c>
      <c r="B407" s="1" t="s">
        <v>1137</v>
      </c>
      <c r="C407" s="1" t="s">
        <v>1138</v>
      </c>
      <c r="D407" s="1" t="s">
        <v>10</v>
      </c>
      <c r="E407" s="12">
        <v>687622.04399999999</v>
      </c>
      <c r="F407" s="12">
        <v>491727.28470740345</v>
      </c>
      <c r="G407" s="2">
        <f t="shared" si="6"/>
        <v>71.51127410735009</v>
      </c>
      <c r="H407" s="30">
        <v>0.35913516096597808</v>
      </c>
    </row>
    <row r="408" spans="1:8" ht="14.1" customHeight="1">
      <c r="A408" s="29" t="s">
        <v>239</v>
      </c>
      <c r="B408" s="1" t="s">
        <v>1139</v>
      </c>
      <c r="C408" s="1" t="s">
        <v>1140</v>
      </c>
      <c r="D408" s="1" t="s">
        <v>10</v>
      </c>
      <c r="E408" s="12">
        <v>106928.57799999999</v>
      </c>
      <c r="F408" s="12">
        <v>20065.345708176599</v>
      </c>
      <c r="G408" s="2">
        <f t="shared" si="6"/>
        <v>18.765185213794389</v>
      </c>
      <c r="H408" s="30">
        <v>1.4654812504520567E-2</v>
      </c>
    </row>
    <row r="409" spans="1:8" ht="14.1" customHeight="1">
      <c r="A409" s="29" t="s">
        <v>267</v>
      </c>
      <c r="B409" s="1" t="s">
        <v>1141</v>
      </c>
      <c r="C409" s="1" t="s">
        <v>1142</v>
      </c>
      <c r="D409" s="1" t="s">
        <v>10</v>
      </c>
      <c r="E409" s="12">
        <v>325603.092</v>
      </c>
      <c r="F409" s="12">
        <v>46460.0827809373</v>
      </c>
      <c r="G409" s="2">
        <f t="shared" si="6"/>
        <v>14.268931690899697</v>
      </c>
      <c r="H409" s="30">
        <v>3.3932323519434281E-2</v>
      </c>
    </row>
    <row r="410" spans="1:8" ht="14.1" customHeight="1">
      <c r="A410" s="29" t="s">
        <v>207</v>
      </c>
      <c r="B410" s="1" t="s">
        <v>1143</v>
      </c>
      <c r="C410" s="1" t="s">
        <v>1144</v>
      </c>
      <c r="D410" s="1" t="s">
        <v>317</v>
      </c>
      <c r="E410" s="12">
        <v>2375109.5959999999</v>
      </c>
      <c r="F410" s="12">
        <v>59674.669739211393</v>
      </c>
      <c r="G410" s="2">
        <f t="shared" si="6"/>
        <v>2.5125017321184449</v>
      </c>
      <c r="H410" s="30">
        <v>4.3583654576206186E-2</v>
      </c>
    </row>
    <row r="411" spans="1:8" ht="14.1" customHeight="1">
      <c r="A411" s="29" t="s">
        <v>143</v>
      </c>
      <c r="B411" s="1" t="s">
        <v>1145</v>
      </c>
      <c r="C411" s="1" t="s">
        <v>1146</v>
      </c>
      <c r="D411" s="1" t="s">
        <v>28</v>
      </c>
      <c r="E411" s="12">
        <v>749784.93900000001</v>
      </c>
      <c r="F411" s="12">
        <v>594365.57261502591</v>
      </c>
      <c r="G411" s="2">
        <f t="shared" si="6"/>
        <v>79.271473951949559</v>
      </c>
      <c r="H411" s="30">
        <v>0.4340974809253233</v>
      </c>
    </row>
    <row r="412" spans="1:8" ht="14.1" customHeight="1">
      <c r="A412" s="29" t="s">
        <v>151</v>
      </c>
      <c r="B412" s="1" t="s">
        <v>1147</v>
      </c>
      <c r="C412" s="1" t="s">
        <v>1148</v>
      </c>
      <c r="D412" s="1" t="s">
        <v>7</v>
      </c>
      <c r="E412" s="12">
        <v>6049673.8609999996</v>
      </c>
      <c r="F412" s="12">
        <v>0</v>
      </c>
      <c r="G412" s="2">
        <f t="shared" si="6"/>
        <v>0</v>
      </c>
      <c r="H412" s="30">
        <v>0</v>
      </c>
    </row>
    <row r="413" spans="1:8" ht="14.1" customHeight="1">
      <c r="A413" s="29" t="s">
        <v>141</v>
      </c>
      <c r="B413" s="1" t="s">
        <v>1149</v>
      </c>
      <c r="C413" s="1" t="s">
        <v>1150</v>
      </c>
      <c r="D413" s="1" t="s">
        <v>317</v>
      </c>
      <c r="E413" s="12">
        <v>397935.41600000003</v>
      </c>
      <c r="F413" s="12">
        <v>0</v>
      </c>
      <c r="G413" s="2">
        <f t="shared" si="6"/>
        <v>0</v>
      </c>
      <c r="H413" s="30">
        <v>0</v>
      </c>
    </row>
    <row r="414" spans="1:8" ht="14.1" customHeight="1">
      <c r="A414" s="29" t="s">
        <v>281</v>
      </c>
      <c r="B414" s="1" t="s">
        <v>1151</v>
      </c>
      <c r="C414" s="1" t="s">
        <v>1152</v>
      </c>
      <c r="D414" s="1" t="s">
        <v>317</v>
      </c>
      <c r="E414" s="12">
        <v>1600892.895</v>
      </c>
      <c r="F414" s="12">
        <v>0</v>
      </c>
      <c r="G414" s="2">
        <f t="shared" si="6"/>
        <v>0</v>
      </c>
      <c r="H414" s="30">
        <v>0</v>
      </c>
    </row>
    <row r="415" spans="1:8" ht="14.1" customHeight="1">
      <c r="A415" s="29" t="s">
        <v>279</v>
      </c>
      <c r="B415" s="1" t="s">
        <v>1153</v>
      </c>
      <c r="C415" s="1" t="s">
        <v>1154</v>
      </c>
      <c r="D415" s="1" t="s">
        <v>10</v>
      </c>
      <c r="E415" s="12">
        <v>211493.63800000001</v>
      </c>
      <c r="F415" s="12">
        <v>31817.249167498929</v>
      </c>
      <c r="G415" s="2">
        <f t="shared" si="6"/>
        <v>15.044069158949796</v>
      </c>
      <c r="H415" s="30">
        <v>2.323786630645009E-2</v>
      </c>
    </row>
    <row r="416" spans="1:8" ht="14.1" customHeight="1">
      <c r="A416" s="29" t="s">
        <v>247</v>
      </c>
      <c r="B416" s="1" t="s">
        <v>1155</v>
      </c>
      <c r="C416" s="1" t="s">
        <v>1156</v>
      </c>
      <c r="D416" s="1" t="s">
        <v>31</v>
      </c>
      <c r="E416" s="12">
        <v>1148966.1070000001</v>
      </c>
      <c r="F416" s="12">
        <v>895074.96946717578</v>
      </c>
      <c r="G416" s="2">
        <f t="shared" si="6"/>
        <v>77.902643429948952</v>
      </c>
      <c r="H416" s="30">
        <v>0.65372189673690551</v>
      </c>
    </row>
    <row r="417" spans="1:8" ht="14.1" customHeight="1">
      <c r="A417" s="29" t="s">
        <v>239</v>
      </c>
      <c r="B417" s="1" t="s">
        <v>1157</v>
      </c>
      <c r="C417" s="1" t="s">
        <v>1158</v>
      </c>
      <c r="D417" s="1" t="s">
        <v>10</v>
      </c>
      <c r="E417" s="12">
        <v>65134.758999999998</v>
      </c>
      <c r="F417" s="12">
        <v>192.643843973</v>
      </c>
      <c r="G417" s="2">
        <f t="shared" si="6"/>
        <v>0.2957619663150976</v>
      </c>
      <c r="H417" s="30">
        <v>1.4069826927646685E-4</v>
      </c>
    </row>
    <row r="418" spans="1:8" ht="14.1" customHeight="1">
      <c r="A418" s="29" t="s">
        <v>201</v>
      </c>
      <c r="B418" s="1" t="s">
        <v>1159</v>
      </c>
      <c r="C418" s="1" t="s">
        <v>1160</v>
      </c>
      <c r="D418" s="1" t="s">
        <v>31</v>
      </c>
      <c r="E418" s="12">
        <v>4828388.6279999996</v>
      </c>
      <c r="F418" s="12">
        <v>2651502.5560502396</v>
      </c>
      <c r="G418" s="2">
        <f t="shared" si="6"/>
        <v>54.914853801826993</v>
      </c>
      <c r="H418" s="30">
        <v>1.9365364235084677</v>
      </c>
    </row>
    <row r="419" spans="1:8" ht="14.1" customHeight="1">
      <c r="A419" s="29" t="s">
        <v>279</v>
      </c>
      <c r="B419" s="1" t="s">
        <v>1161</v>
      </c>
      <c r="C419" s="1" t="s">
        <v>1162</v>
      </c>
      <c r="D419" s="1" t="s">
        <v>10</v>
      </c>
      <c r="E419" s="12">
        <v>461327.05800000002</v>
      </c>
      <c r="F419" s="12">
        <v>264209.79212462221</v>
      </c>
      <c r="G419" s="2">
        <f t="shared" si="6"/>
        <v>57.271687741459601</v>
      </c>
      <c r="H419" s="30">
        <v>0.19296677075774882</v>
      </c>
    </row>
    <row r="420" spans="1:8" ht="14.1" customHeight="1">
      <c r="A420" s="29" t="s">
        <v>147</v>
      </c>
      <c r="B420" s="1" t="s">
        <v>1163</v>
      </c>
      <c r="C420" s="1" t="s">
        <v>1164</v>
      </c>
      <c r="D420" s="1" t="s">
        <v>19</v>
      </c>
      <c r="E420" s="12">
        <v>2931061.07</v>
      </c>
      <c r="F420" s="12">
        <v>361525.89567025629</v>
      </c>
      <c r="G420" s="2">
        <f t="shared" si="6"/>
        <v>12.334301027383789</v>
      </c>
      <c r="H420" s="30">
        <v>0.26404201022150864</v>
      </c>
    </row>
    <row r="421" spans="1:8" ht="14.1" customHeight="1">
      <c r="A421" s="29" t="s">
        <v>243</v>
      </c>
      <c r="B421" s="1" t="s">
        <v>1165</v>
      </c>
      <c r="C421" s="1" t="s">
        <v>1166</v>
      </c>
      <c r="D421" s="1" t="s">
        <v>10</v>
      </c>
      <c r="E421" s="12">
        <v>45815.423000000003</v>
      </c>
      <c r="F421" s="12">
        <v>32104.68759548962</v>
      </c>
      <c r="G421" s="2">
        <f t="shared" si="6"/>
        <v>70.073973987950779</v>
      </c>
      <c r="H421" s="30">
        <v>2.3447798212436696E-2</v>
      </c>
    </row>
    <row r="422" spans="1:8" ht="13.5" thickBot="1">
      <c r="A422" s="31" t="s">
        <v>85</v>
      </c>
      <c r="B422" s="3"/>
      <c r="C422" s="3"/>
      <c r="D422" s="3"/>
      <c r="E422" s="16">
        <v>768928319.4789995</v>
      </c>
      <c r="F422" s="16">
        <v>136919839.14490238</v>
      </c>
      <c r="G422" s="5">
        <f t="shared" si="6"/>
        <v>17.806580363391316</v>
      </c>
      <c r="H422" s="32">
        <v>100</v>
      </c>
    </row>
    <row r="423" spans="1:8">
      <c r="A423" s="13" t="s">
        <v>103</v>
      </c>
      <c r="B423" s="12">
        <v>768826956</v>
      </c>
    </row>
    <row r="424" spans="1:8">
      <c r="A424" s="23"/>
    </row>
    <row r="426" spans="1:8">
      <c r="A426" s="21" t="s">
        <v>1172</v>
      </c>
      <c r="B426" s="2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TYPE</vt:lpstr>
      <vt:lpstr>JURISDICTION</vt:lpstr>
      <vt:lpstr>GOVERNANCE</vt:lpstr>
      <vt:lpstr>IUCN CATEGORY</vt:lpstr>
      <vt:lpstr>IBRA BIOREGIONS</vt:lpstr>
      <vt:lpstr>BIOREGION BY IUCN</vt:lpstr>
      <vt:lpstr>IBRA SUBREGIONS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Larry</dc:creator>
  <cp:lastModifiedBy>A10956</cp:lastModifiedBy>
  <dcterms:created xsi:type="dcterms:W3CDTF">2014-10-28T16:11:59Z</dcterms:created>
  <dcterms:modified xsi:type="dcterms:W3CDTF">2014-12-12T00:04:04Z</dcterms:modified>
</cp:coreProperties>
</file>