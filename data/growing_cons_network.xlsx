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53A3674A-AE1D-4007-9A32-ACBD1A8E7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2" i="1"/>
  <c r="G33" i="1"/>
  <c r="G34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3" i="1"/>
  <c r="G64" i="1"/>
  <c r="G65" i="1"/>
  <c r="G66" i="1"/>
  <c r="G67" i="1"/>
  <c r="G68" i="1"/>
  <c r="G69" i="1"/>
  <c r="G70" i="1"/>
  <c r="G72" i="1"/>
  <c r="G73" i="1"/>
  <c r="G74" i="1"/>
  <c r="G75" i="1"/>
  <c r="G76" i="1"/>
  <c r="G77" i="1"/>
  <c r="G78" i="1"/>
  <c r="G3" i="1"/>
  <c r="G4" i="1"/>
  <c r="G5" i="1"/>
  <c r="G6" i="1"/>
  <c r="G7" i="1"/>
  <c r="G8" i="1"/>
  <c r="G9" i="1"/>
  <c r="G10" i="1"/>
  <c r="G11" i="1"/>
  <c r="G12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</calcChain>
</file>

<file path=xl/sharedStrings.xml><?xml version="1.0" encoding="utf-8"?>
<sst xmlns="http://schemas.openxmlformats.org/spreadsheetml/2006/main" count="162" uniqueCount="21">
  <si>
    <t>State Full Name</t>
  </si>
  <si>
    <t>Year</t>
  </si>
  <si>
    <t>Victoria</t>
  </si>
  <si>
    <t>Western Australia</t>
  </si>
  <si>
    <t>South Australia</t>
  </si>
  <si>
    <t>New South Wales</t>
  </si>
  <si>
    <t>Tasmania</t>
  </si>
  <si>
    <t>Queensland</t>
  </si>
  <si>
    <t>Protected Area (ha)</t>
  </si>
  <si>
    <t>Percentage of coverage</t>
  </si>
  <si>
    <t>Commonwealth</t>
  </si>
  <si>
    <t>Northern Territory</t>
  </si>
  <si>
    <t>Marine/Terrestrial</t>
  </si>
  <si>
    <t>Difference in protected area (Ha)</t>
  </si>
  <si>
    <t>M</t>
  </si>
  <si>
    <t>Australian Capital Territory</t>
  </si>
  <si>
    <t>External Territories</t>
  </si>
  <si>
    <t>Nothern Territory</t>
  </si>
  <si>
    <t>T</t>
  </si>
  <si>
    <t>Total Area</t>
  </si>
  <si>
    <t>Difference in coverage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</si>
</sst>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7" formatCode="0.0000"/>
    <numFmt numFmtId="174" formatCode="_-* #,##0.00000000_-;\-* #,##0.000000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3" fontId="16" fillId="0" borderId="0" xfId="0" applyNumberFormat="1" applyFont="1"/>
    <xf numFmtId="165" fontId="16" fillId="0" borderId="0" xfId="0" applyNumberFormat="1" applyFont="1" applyAlignment="1">
      <alignment vertical="center"/>
    </xf>
    <xf numFmtId="165" fontId="16" fillId="0" borderId="0" xfId="0" applyNumberFormat="1" applyFont="1"/>
    <xf numFmtId="165" fontId="22" fillId="0" borderId="0" xfId="0" applyNumberFormat="1" applyFont="1"/>
    <xf numFmtId="165" fontId="0" fillId="0" borderId="0" xfId="0" applyNumberFormat="1"/>
    <xf numFmtId="167" fontId="16" fillId="0" borderId="0" xfId="0" applyNumberFormat="1" applyFont="1"/>
    <xf numFmtId="3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16" fillId="0" borderId="0" xfId="0" applyFont="1"/>
    <xf numFmtId="167" fontId="21" fillId="0" borderId="0" xfId="0" applyNumberFormat="1" applyFont="1"/>
    <xf numFmtId="174" fontId="0" fillId="0" borderId="0" xfId="0" applyNumberForma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topLeftCell="A61" workbookViewId="0">
      <selection activeCell="E74" sqref="E74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" customWidth="1"/>
    <col min="5" max="5" width="20.5546875" customWidth="1"/>
    <col min="6" max="6" width="27.21875" customWidth="1"/>
    <col min="7" max="7" width="18.109375" customWidth="1"/>
  </cols>
  <sheetData>
    <row r="1" spans="1:8" s="1" customFormat="1" x14ac:dyDescent="0.3">
      <c r="A1" s="2" t="s">
        <v>0</v>
      </c>
      <c r="B1" s="2" t="s">
        <v>1</v>
      </c>
      <c r="C1" s="2" t="s">
        <v>8</v>
      </c>
      <c r="D1" s="2" t="s">
        <v>19</v>
      </c>
      <c r="E1" s="1" t="s">
        <v>9</v>
      </c>
      <c r="F1" s="1" t="s">
        <v>13</v>
      </c>
      <c r="G1" s="1" t="s">
        <v>20</v>
      </c>
      <c r="H1" s="1" t="s">
        <v>12</v>
      </c>
    </row>
    <row r="2" spans="1:8" x14ac:dyDescent="0.3">
      <c r="A2" s="3" t="s">
        <v>5</v>
      </c>
      <c r="B2" s="3">
        <v>2018</v>
      </c>
      <c r="C2" s="5">
        <v>348848.84795229405</v>
      </c>
      <c r="D2">
        <v>880200</v>
      </c>
      <c r="E2">
        <f>C2/D2*100</f>
        <v>39.632907061155883</v>
      </c>
      <c r="F2">
        <v>-2</v>
      </c>
      <c r="G2" s="14">
        <f>F2/D2</f>
        <v>-2.2722108611679162E-6</v>
      </c>
      <c r="H2" t="s">
        <v>14</v>
      </c>
    </row>
    <row r="3" spans="1:8" x14ac:dyDescent="0.3">
      <c r="A3" s="3" t="s">
        <v>11</v>
      </c>
      <c r="B3" s="3">
        <v>2018</v>
      </c>
      <c r="C3" s="5">
        <v>290645.0456399899</v>
      </c>
      <c r="D3">
        <v>7183900</v>
      </c>
      <c r="E3">
        <f>C3/D3*100</f>
        <v>4.0457835665862536</v>
      </c>
      <c r="F3">
        <v>0</v>
      </c>
      <c r="G3" s="14">
        <f t="shared" ref="G3:G66" si="0">F3/D3</f>
        <v>0</v>
      </c>
      <c r="H3" t="s">
        <v>14</v>
      </c>
    </row>
    <row r="4" spans="1:8" x14ac:dyDescent="0.3">
      <c r="A4" s="3" t="s">
        <v>7</v>
      </c>
      <c r="B4" s="3">
        <v>2018</v>
      </c>
      <c r="C4" s="5">
        <v>7650815.116832979</v>
      </c>
      <c r="D4">
        <v>12199400</v>
      </c>
      <c r="E4">
        <f>C4/D4*100</f>
        <v>62.714683647007064</v>
      </c>
      <c r="F4">
        <v>17886</v>
      </c>
      <c r="G4" s="14">
        <f t="shared" si="0"/>
        <v>1.466137678902241E-3</v>
      </c>
      <c r="H4" t="s">
        <v>14</v>
      </c>
    </row>
    <row r="5" spans="1:8" x14ac:dyDescent="0.3">
      <c r="A5" s="3" t="s">
        <v>4</v>
      </c>
      <c r="B5" s="3">
        <v>2018</v>
      </c>
      <c r="C5" s="5">
        <v>2701073.5250896267</v>
      </c>
      <c r="D5">
        <v>6003200</v>
      </c>
      <c r="E5">
        <f>C5/D5*100</f>
        <v>44.993895340645437</v>
      </c>
      <c r="F5">
        <v>11959</v>
      </c>
      <c r="G5" s="14">
        <f t="shared" si="0"/>
        <v>1.9921042110874199E-3</v>
      </c>
      <c r="H5" t="s">
        <v>14</v>
      </c>
    </row>
    <row r="6" spans="1:8" x14ac:dyDescent="0.3">
      <c r="A6" s="3" t="s">
        <v>6</v>
      </c>
      <c r="B6" s="3">
        <v>2018</v>
      </c>
      <c r="C6" s="5">
        <v>145127.07686764855</v>
      </c>
      <c r="D6">
        <v>2235700</v>
      </c>
      <c r="E6">
        <f>C6/D6*100</f>
        <v>6.4913484308113141</v>
      </c>
      <c r="F6">
        <v>11588</v>
      </c>
      <c r="G6" s="14">
        <f t="shared" si="0"/>
        <v>5.1831641096748218E-3</v>
      </c>
      <c r="H6" t="s">
        <v>14</v>
      </c>
    </row>
    <row r="7" spans="1:8" x14ac:dyDescent="0.3">
      <c r="A7" s="3" t="s">
        <v>2</v>
      </c>
      <c r="B7" s="3">
        <v>2018</v>
      </c>
      <c r="C7" s="5">
        <v>121088.31140251644</v>
      </c>
      <c r="D7">
        <v>1021300</v>
      </c>
      <c r="E7">
        <f>C7/D7*100</f>
        <v>11.856292118135361</v>
      </c>
      <c r="F7">
        <v>50</v>
      </c>
      <c r="G7" s="14">
        <f t="shared" si="0"/>
        <v>4.8957211397238811E-5</v>
      </c>
      <c r="H7" t="s">
        <v>14</v>
      </c>
    </row>
    <row r="8" spans="1:8" x14ac:dyDescent="0.3">
      <c r="A8" s="3" t="s">
        <v>3</v>
      </c>
      <c r="B8" s="3">
        <v>2018</v>
      </c>
      <c r="C8" s="5">
        <v>4751057.5829764791</v>
      </c>
      <c r="D8">
        <v>11574000</v>
      </c>
      <c r="E8">
        <f>C8/D8*100</f>
        <v>41.049400233078273</v>
      </c>
      <c r="F8">
        <v>2231325</v>
      </c>
      <c r="G8" s="14">
        <f t="shared" si="0"/>
        <v>0.19278771384136859</v>
      </c>
      <c r="H8" t="s">
        <v>14</v>
      </c>
    </row>
    <row r="9" spans="1:8" x14ac:dyDescent="0.3">
      <c r="A9" s="3" t="s">
        <v>5</v>
      </c>
      <c r="B9" s="3">
        <v>2020</v>
      </c>
      <c r="C9" s="5">
        <v>348849</v>
      </c>
      <c r="D9">
        <v>880200</v>
      </c>
      <c r="E9">
        <f>C9/D9*100</f>
        <v>39.63292433537832</v>
      </c>
      <c r="F9">
        <v>0</v>
      </c>
      <c r="G9" s="14">
        <f t="shared" si="0"/>
        <v>0</v>
      </c>
      <c r="H9" t="s">
        <v>14</v>
      </c>
    </row>
    <row r="10" spans="1:8" x14ac:dyDescent="0.3">
      <c r="A10" s="3" t="s">
        <v>11</v>
      </c>
      <c r="B10" s="3">
        <v>2020</v>
      </c>
      <c r="C10" s="5">
        <v>290645</v>
      </c>
      <c r="D10">
        <v>7183900</v>
      </c>
      <c r="E10">
        <f>C10/D10*100</f>
        <v>4.0457829312768832</v>
      </c>
      <c r="F10">
        <v>0</v>
      </c>
      <c r="G10" s="14">
        <f t="shared" si="0"/>
        <v>0</v>
      </c>
      <c r="H10" t="s">
        <v>14</v>
      </c>
    </row>
    <row r="11" spans="1:8" x14ac:dyDescent="0.3">
      <c r="A11" s="3" t="s">
        <v>7</v>
      </c>
      <c r="B11" s="3">
        <v>2020</v>
      </c>
      <c r="C11" s="5">
        <v>7650815</v>
      </c>
      <c r="D11">
        <v>12199400</v>
      </c>
      <c r="E11">
        <f>C11/D11*100</f>
        <v>62.714682689312582</v>
      </c>
      <c r="F11">
        <v>0</v>
      </c>
      <c r="G11" s="14">
        <f t="shared" si="0"/>
        <v>0</v>
      </c>
      <c r="H11" t="s">
        <v>14</v>
      </c>
    </row>
    <row r="12" spans="1:8" x14ac:dyDescent="0.3">
      <c r="A12" s="3" t="s">
        <v>4</v>
      </c>
      <c r="B12" s="3">
        <v>2020</v>
      </c>
      <c r="C12" s="5">
        <v>2703184</v>
      </c>
      <c r="D12">
        <v>6003200</v>
      </c>
      <c r="E12">
        <f>C12/D12*100</f>
        <v>45.029051172707888</v>
      </c>
      <c r="F12">
        <v>2110</v>
      </c>
      <c r="G12" s="14">
        <f t="shared" si="0"/>
        <v>3.5147921108742003E-4</v>
      </c>
      <c r="H12" t="s">
        <v>14</v>
      </c>
    </row>
    <row r="13" spans="1:8" x14ac:dyDescent="0.3">
      <c r="A13" s="3" t="s">
        <v>6</v>
      </c>
      <c r="B13" s="3">
        <v>2020</v>
      </c>
      <c r="C13" s="5">
        <v>145127</v>
      </c>
      <c r="D13">
        <v>2235700</v>
      </c>
      <c r="E13">
        <f>C13/D13*100</f>
        <v>6.4913449926197613</v>
      </c>
      <c r="F13">
        <v>0</v>
      </c>
      <c r="G13" s="14">
        <f t="shared" si="0"/>
        <v>0</v>
      </c>
      <c r="H13" t="s">
        <v>14</v>
      </c>
    </row>
    <row r="14" spans="1:8" x14ac:dyDescent="0.3">
      <c r="A14" s="3" t="s">
        <v>2</v>
      </c>
      <c r="B14" s="3">
        <v>2020</v>
      </c>
      <c r="C14" s="5">
        <v>121242</v>
      </c>
      <c r="D14">
        <v>1021300</v>
      </c>
      <c r="E14">
        <f>C14/D14*100</f>
        <v>11.871340448448056</v>
      </c>
      <c r="F14">
        <v>154</v>
      </c>
      <c r="G14" s="14">
        <f t="shared" si="0"/>
        <v>1.5078821110349556E-4</v>
      </c>
      <c r="H14" t="s">
        <v>14</v>
      </c>
    </row>
    <row r="15" spans="1:8" x14ac:dyDescent="0.3">
      <c r="A15" s="3" t="s">
        <v>3</v>
      </c>
      <c r="B15" s="3">
        <v>2020</v>
      </c>
      <c r="C15" s="5">
        <v>4751462</v>
      </c>
      <c r="D15">
        <v>11574000</v>
      </c>
      <c r="E15">
        <f>C15/D15*100</f>
        <v>41.052894418524275</v>
      </c>
      <c r="F15">
        <v>404</v>
      </c>
      <c r="G15" s="14">
        <f t="shared" si="0"/>
        <v>3.4905823397269745E-5</v>
      </c>
      <c r="H15" t="s">
        <v>14</v>
      </c>
    </row>
    <row r="16" spans="1:8" x14ac:dyDescent="0.3">
      <c r="A16" s="3" t="s">
        <v>5</v>
      </c>
      <c r="B16" s="3">
        <v>2022</v>
      </c>
      <c r="C16" s="5">
        <v>348849</v>
      </c>
      <c r="D16">
        <v>880200</v>
      </c>
      <c r="E16">
        <f>C16/D16*100</f>
        <v>39.63292433537832</v>
      </c>
      <c r="F16">
        <v>0</v>
      </c>
      <c r="G16" s="14">
        <f t="shared" si="0"/>
        <v>0</v>
      </c>
      <c r="H16" t="s">
        <v>14</v>
      </c>
    </row>
    <row r="17" spans="1:8" x14ac:dyDescent="0.3">
      <c r="A17" s="3" t="s">
        <v>11</v>
      </c>
      <c r="B17" s="3">
        <v>2022</v>
      </c>
      <c r="C17" s="5">
        <v>290645</v>
      </c>
      <c r="D17">
        <v>7183900</v>
      </c>
      <c r="E17">
        <f>C17/D17*100</f>
        <v>4.0457829312768832</v>
      </c>
      <c r="F17">
        <v>0</v>
      </c>
      <c r="G17" s="14">
        <f t="shared" si="0"/>
        <v>0</v>
      </c>
      <c r="H17" t="s">
        <v>14</v>
      </c>
    </row>
    <row r="18" spans="1:8" x14ac:dyDescent="0.3">
      <c r="A18" s="3" t="s">
        <v>7</v>
      </c>
      <c r="B18" s="3">
        <v>2022</v>
      </c>
      <c r="C18" s="5">
        <v>7650815</v>
      </c>
      <c r="D18">
        <v>12199400</v>
      </c>
      <c r="E18">
        <f>C18/D18*100</f>
        <v>62.714682689312582</v>
      </c>
      <c r="F18">
        <v>0</v>
      </c>
      <c r="G18" s="14">
        <f t="shared" si="0"/>
        <v>0</v>
      </c>
      <c r="H18" t="s">
        <v>14</v>
      </c>
    </row>
    <row r="19" spans="1:8" x14ac:dyDescent="0.3">
      <c r="A19" s="3" t="s">
        <v>4</v>
      </c>
      <c r="B19" s="3">
        <v>2022</v>
      </c>
      <c r="C19" s="6">
        <v>2712989</v>
      </c>
      <c r="D19">
        <v>6003200</v>
      </c>
      <c r="E19">
        <f>C19/D19*100</f>
        <v>45.192380730277186</v>
      </c>
      <c r="F19">
        <v>9805</v>
      </c>
      <c r="G19" s="14">
        <f t="shared" si="0"/>
        <v>1.6332955756929637E-3</v>
      </c>
      <c r="H19" t="s">
        <v>14</v>
      </c>
    </row>
    <row r="20" spans="1:8" x14ac:dyDescent="0.3">
      <c r="A20" s="3" t="s">
        <v>6</v>
      </c>
      <c r="B20" s="3">
        <v>2022</v>
      </c>
      <c r="C20" s="6">
        <v>145088</v>
      </c>
      <c r="D20">
        <v>2235700</v>
      </c>
      <c r="E20">
        <f>C20/D20*100</f>
        <v>6.4896005725276193</v>
      </c>
      <c r="F20">
        <v>-39</v>
      </c>
      <c r="G20" s="14">
        <f t="shared" si="0"/>
        <v>-1.7444200921411637E-5</v>
      </c>
      <c r="H20" t="s">
        <v>14</v>
      </c>
    </row>
    <row r="21" spans="1:8" x14ac:dyDescent="0.3">
      <c r="A21" s="3" t="s">
        <v>2</v>
      </c>
      <c r="B21" s="3">
        <v>2022</v>
      </c>
      <c r="C21" s="5">
        <v>121242</v>
      </c>
      <c r="D21">
        <v>1021300</v>
      </c>
      <c r="E21">
        <f>C21/D21*100</f>
        <v>11.871340448448056</v>
      </c>
      <c r="F21">
        <v>0</v>
      </c>
      <c r="G21" s="14">
        <f t="shared" si="0"/>
        <v>0</v>
      </c>
      <c r="H21" t="s">
        <v>14</v>
      </c>
    </row>
    <row r="22" spans="1:8" x14ac:dyDescent="0.3">
      <c r="A22" s="3" t="s">
        <v>3</v>
      </c>
      <c r="B22" s="3">
        <v>2022</v>
      </c>
      <c r="C22" s="5">
        <v>4751462</v>
      </c>
      <c r="D22">
        <v>11574000</v>
      </c>
      <c r="E22">
        <f>C22/D22*100</f>
        <v>41.052894418524275</v>
      </c>
      <c r="F22">
        <v>0</v>
      </c>
      <c r="G22" s="14">
        <f t="shared" si="0"/>
        <v>0</v>
      </c>
      <c r="H22" t="s">
        <v>14</v>
      </c>
    </row>
    <row r="23" spans="1:8" x14ac:dyDescent="0.3">
      <c r="A23" s="3" t="s">
        <v>5</v>
      </c>
      <c r="B23" s="3">
        <v>2024</v>
      </c>
      <c r="C23" s="7">
        <v>336371.08716377022</v>
      </c>
      <c r="D23">
        <v>880200</v>
      </c>
      <c r="E23">
        <f>C23/D23*100</f>
        <v>38.215301881818931</v>
      </c>
      <c r="F23">
        <v>-12478</v>
      </c>
      <c r="G23" s="14">
        <f t="shared" si="0"/>
        <v>-1.417632356282663E-2</v>
      </c>
      <c r="H23" t="s">
        <v>14</v>
      </c>
    </row>
    <row r="24" spans="1:8" x14ac:dyDescent="0.3">
      <c r="A24" s="3" t="s">
        <v>11</v>
      </c>
      <c r="B24" s="3">
        <v>2024</v>
      </c>
      <c r="C24" s="8">
        <v>1473278.30688476</v>
      </c>
      <c r="D24">
        <v>7183900</v>
      </c>
      <c r="E24">
        <f>C24/D24*100</f>
        <v>20.508057000859701</v>
      </c>
      <c r="F24">
        <v>1182633</v>
      </c>
      <c r="G24" s="14">
        <f t="shared" si="0"/>
        <v>0.16462269797742174</v>
      </c>
      <c r="H24" t="s">
        <v>14</v>
      </c>
    </row>
    <row r="25" spans="1:8" x14ac:dyDescent="0.3">
      <c r="A25" s="3" t="s">
        <v>7</v>
      </c>
      <c r="B25" s="3">
        <v>2024</v>
      </c>
      <c r="C25" s="6">
        <v>9988304.2624089997</v>
      </c>
      <c r="D25">
        <v>12199400</v>
      </c>
      <c r="E25">
        <f>C25/D25*100</f>
        <v>81.875373070880528</v>
      </c>
      <c r="F25">
        <v>2337489</v>
      </c>
      <c r="G25" s="14">
        <f t="shared" si="0"/>
        <v>0.19160688230568718</v>
      </c>
      <c r="H25" t="s">
        <v>14</v>
      </c>
    </row>
    <row r="26" spans="1:8" x14ac:dyDescent="0.3">
      <c r="A26" s="3" t="s">
        <v>4</v>
      </c>
      <c r="B26" s="3">
        <v>2024</v>
      </c>
      <c r="C26" s="7">
        <v>2672654.6616391698</v>
      </c>
      <c r="D26">
        <v>6003200</v>
      </c>
      <c r="E26">
        <f>C26/D26*100</f>
        <v>44.520500093936064</v>
      </c>
      <c r="F26">
        <v>-40334</v>
      </c>
      <c r="G26" s="14">
        <f t="shared" si="0"/>
        <v>-6.7187499999999999E-3</v>
      </c>
      <c r="H26" t="s">
        <v>14</v>
      </c>
    </row>
    <row r="27" spans="1:8" x14ac:dyDescent="0.3">
      <c r="A27" s="3" t="s">
        <v>6</v>
      </c>
      <c r="B27" s="3">
        <v>2024</v>
      </c>
      <c r="C27" s="7">
        <v>145071.89327828601</v>
      </c>
      <c r="D27">
        <v>2235700</v>
      </c>
      <c r="E27">
        <f>C27/D27*100</f>
        <v>6.488880139476942</v>
      </c>
      <c r="F27">
        <v>-16</v>
      </c>
      <c r="G27" s="14">
        <f t="shared" si="0"/>
        <v>-7.1565952498099027E-6</v>
      </c>
      <c r="H27" t="s">
        <v>14</v>
      </c>
    </row>
    <row r="28" spans="1:8" x14ac:dyDescent="0.3">
      <c r="A28" s="3" t="s">
        <v>2</v>
      </c>
      <c r="B28" s="3">
        <v>2024</v>
      </c>
      <c r="C28" s="7">
        <v>116054.8856078728</v>
      </c>
      <c r="D28">
        <v>1021300</v>
      </c>
      <c r="E28">
        <f>C28/D28*100</f>
        <v>11.363447136773994</v>
      </c>
      <c r="F28">
        <v>-5187</v>
      </c>
      <c r="G28" s="14">
        <f t="shared" si="0"/>
        <v>-5.0788211103495549E-3</v>
      </c>
      <c r="H28" t="s">
        <v>14</v>
      </c>
    </row>
    <row r="29" spans="1:8" x14ac:dyDescent="0.3">
      <c r="A29" s="3" t="s">
        <v>3</v>
      </c>
      <c r="B29" s="3">
        <v>2024</v>
      </c>
      <c r="C29" s="7">
        <v>5305930.3369490001</v>
      </c>
      <c r="D29">
        <v>11574000</v>
      </c>
      <c r="E29">
        <f>C29/D29*100</f>
        <v>45.843531509841021</v>
      </c>
      <c r="F29">
        <v>554468</v>
      </c>
      <c r="G29" s="14">
        <f t="shared" si="0"/>
        <v>4.7906341800587525E-2</v>
      </c>
      <c r="H29" t="s">
        <v>14</v>
      </c>
    </row>
    <row r="30" spans="1:8" x14ac:dyDescent="0.3">
      <c r="A30" s="3" t="s">
        <v>10</v>
      </c>
      <c r="B30" s="3">
        <v>2018</v>
      </c>
      <c r="C30" s="5">
        <v>317767551</v>
      </c>
      <c r="D30">
        <v>852973361.39999998</v>
      </c>
      <c r="E30">
        <f>C30/D30*100</f>
        <v>37.25410023103683</v>
      </c>
      <c r="F30">
        <v>-106</v>
      </c>
      <c r="G30" s="14">
        <f t="shared" si="0"/>
        <v>-1.2427117281367423E-7</v>
      </c>
      <c r="H30" t="s">
        <v>14</v>
      </c>
    </row>
    <row r="31" spans="1:8" x14ac:dyDescent="0.3">
      <c r="A31" s="3" t="s">
        <v>10</v>
      </c>
      <c r="B31" s="3">
        <v>2020</v>
      </c>
      <c r="C31" s="5">
        <v>317767551</v>
      </c>
      <c r="D31">
        <v>852973361.39999998</v>
      </c>
      <c r="E31">
        <f>C31/D31*100</f>
        <v>37.25410023103683</v>
      </c>
      <c r="F31">
        <v>0</v>
      </c>
      <c r="G31" s="14">
        <v>0</v>
      </c>
      <c r="H31" t="s">
        <v>14</v>
      </c>
    </row>
    <row r="32" spans="1:8" x14ac:dyDescent="0.3">
      <c r="A32" s="3" t="s">
        <v>10</v>
      </c>
      <c r="B32" s="3">
        <v>2022</v>
      </c>
      <c r="C32">
        <v>392173968</v>
      </c>
      <c r="D32">
        <v>852973361.39999998</v>
      </c>
      <c r="E32">
        <f>C32/D32*100</f>
        <v>45.977282028634292</v>
      </c>
      <c r="F32">
        <v>74406417</v>
      </c>
      <c r="G32" s="14">
        <f t="shared" si="0"/>
        <v>8.723181797597461E-2</v>
      </c>
      <c r="H32" t="s">
        <v>14</v>
      </c>
    </row>
    <row r="33" spans="1:8" x14ac:dyDescent="0.3">
      <c r="A33" s="3" t="s">
        <v>10</v>
      </c>
      <c r="B33" s="3">
        <v>2024</v>
      </c>
      <c r="C33" s="7">
        <v>417166710.86080992</v>
      </c>
      <c r="D33">
        <v>852973361.39999998</v>
      </c>
      <c r="E33">
        <f>C33/D33*100</f>
        <v>48.907355110845074</v>
      </c>
      <c r="F33">
        <v>24992743</v>
      </c>
      <c r="G33" s="14">
        <f t="shared" si="0"/>
        <v>2.9300730985290065E-2</v>
      </c>
      <c r="H33" t="s">
        <v>14</v>
      </c>
    </row>
    <row r="34" spans="1:8" x14ac:dyDescent="0.3">
      <c r="A34" s="3" t="s">
        <v>15</v>
      </c>
      <c r="B34" s="3">
        <v>2016</v>
      </c>
      <c r="C34" s="6">
        <v>130829.5008907318</v>
      </c>
      <c r="D34" s="4">
        <v>235814.85308159783</v>
      </c>
      <c r="E34" s="9">
        <v>55.480190189146391</v>
      </c>
      <c r="F34">
        <v>616</v>
      </c>
      <c r="G34" s="14">
        <f t="shared" si="0"/>
        <v>2.6122188316392804E-3</v>
      </c>
      <c r="H34" t="s">
        <v>18</v>
      </c>
    </row>
    <row r="35" spans="1:8" x14ac:dyDescent="0.3">
      <c r="A35" s="3" t="s">
        <v>16</v>
      </c>
      <c r="B35" s="3">
        <v>2016</v>
      </c>
      <c r="C35" s="6">
        <v>40166.650496000002</v>
      </c>
      <c r="D35" s="10">
        <v>0</v>
      </c>
      <c r="E35" s="11">
        <v>0</v>
      </c>
      <c r="F35">
        <v>-2056</v>
      </c>
      <c r="G35" s="14">
        <v>0</v>
      </c>
      <c r="H35" t="s">
        <v>18</v>
      </c>
    </row>
    <row r="36" spans="1:8" x14ac:dyDescent="0.3">
      <c r="A36" s="3" t="s">
        <v>5</v>
      </c>
      <c r="B36" s="3">
        <v>2016</v>
      </c>
      <c r="C36" s="6">
        <v>7448535.0665761773</v>
      </c>
      <c r="D36" s="4">
        <v>80115006.5110192</v>
      </c>
      <c r="E36" s="9">
        <v>9.2965766175545017</v>
      </c>
      <c r="F36">
        <v>154905</v>
      </c>
      <c r="G36" s="14">
        <f t="shared" si="0"/>
        <v>1.9335328891060381E-3</v>
      </c>
      <c r="H36" t="s">
        <v>18</v>
      </c>
    </row>
    <row r="37" spans="1:8" x14ac:dyDescent="0.3">
      <c r="A37" s="3" t="s">
        <v>17</v>
      </c>
      <c r="B37" s="3">
        <v>2016</v>
      </c>
      <c r="C37" s="6">
        <v>33514059.665276088</v>
      </c>
      <c r="D37" s="4">
        <v>134779162.69050986</v>
      </c>
      <c r="E37" s="9">
        <v>24.865979749299143</v>
      </c>
      <c r="F37">
        <v>8384674</v>
      </c>
      <c r="G37" s="14">
        <f t="shared" si="0"/>
        <v>6.2210462156183033E-2</v>
      </c>
      <c r="H37" t="s">
        <v>18</v>
      </c>
    </row>
    <row r="38" spans="1:8" x14ac:dyDescent="0.3">
      <c r="A38" s="3" t="s">
        <v>7</v>
      </c>
      <c r="B38" s="3">
        <v>2016</v>
      </c>
      <c r="C38" s="6">
        <v>14601431.075975182</v>
      </c>
      <c r="D38" s="4">
        <v>172974215.25634733</v>
      </c>
      <c r="E38" s="9">
        <v>8.4414182757184939</v>
      </c>
      <c r="F38">
        <v>493209</v>
      </c>
      <c r="G38" s="14">
        <f t="shared" si="0"/>
        <v>2.8513440530374169E-3</v>
      </c>
      <c r="H38" t="s">
        <v>18</v>
      </c>
    </row>
    <row r="39" spans="1:8" x14ac:dyDescent="0.3">
      <c r="A39" s="3" t="s">
        <v>4</v>
      </c>
      <c r="B39" s="3">
        <v>2016</v>
      </c>
      <c r="C39" s="6">
        <v>29588882.72613813</v>
      </c>
      <c r="D39" s="4">
        <v>98432191.357677758</v>
      </c>
      <c r="E39" s="9">
        <v>30.063239458149678</v>
      </c>
      <c r="F39">
        <v>194275</v>
      </c>
      <c r="G39" s="14">
        <f t="shared" si="0"/>
        <v>1.9736937410450781E-3</v>
      </c>
      <c r="H39" t="s">
        <v>18</v>
      </c>
    </row>
    <row r="40" spans="1:8" x14ac:dyDescent="0.3">
      <c r="A40" s="3" t="s">
        <v>6</v>
      </c>
      <c r="B40" s="3">
        <v>2016</v>
      </c>
      <c r="C40" s="6">
        <v>2894327.3016859302</v>
      </c>
      <c r="D40" s="4">
        <v>6840139.3646279294</v>
      </c>
      <c r="E40" s="9">
        <v>42.313864490147971</v>
      </c>
      <c r="F40">
        <v>-121379</v>
      </c>
      <c r="G40" s="14">
        <f t="shared" si="0"/>
        <v>-1.774510628068211E-2</v>
      </c>
      <c r="H40" t="s">
        <v>18</v>
      </c>
    </row>
    <row r="41" spans="1:8" x14ac:dyDescent="0.3">
      <c r="A41" s="3" t="s">
        <v>2</v>
      </c>
      <c r="B41" s="3">
        <v>2016</v>
      </c>
      <c r="C41" s="6">
        <v>3916791.7996462942</v>
      </c>
      <c r="D41" s="4">
        <v>22744373.104050368</v>
      </c>
      <c r="E41" s="9">
        <v>17.220926607771762</v>
      </c>
      <c r="F41">
        <v>-95332</v>
      </c>
      <c r="G41" s="14">
        <f t="shared" si="0"/>
        <v>-4.1914542803126575E-3</v>
      </c>
      <c r="H41" t="s">
        <v>18</v>
      </c>
    </row>
    <row r="42" spans="1:8" x14ac:dyDescent="0.3">
      <c r="A42" s="3" t="s">
        <v>3</v>
      </c>
      <c r="B42" s="3">
        <v>2016</v>
      </c>
      <c r="C42" s="6">
        <v>58777768.2338861</v>
      </c>
      <c r="D42" s="4">
        <v>252701298.39084703</v>
      </c>
      <c r="E42" s="9">
        <v>23.259780859129556</v>
      </c>
      <c r="F42">
        <v>4402330</v>
      </c>
      <c r="G42" s="14">
        <f t="shared" si="0"/>
        <v>1.7421081838649766E-2</v>
      </c>
      <c r="H42" t="s">
        <v>18</v>
      </c>
    </row>
    <row r="43" spans="1:8" x14ac:dyDescent="0.3">
      <c r="A43" s="3" t="s">
        <v>15</v>
      </c>
      <c r="B43" s="3">
        <v>2018</v>
      </c>
      <c r="C43" s="6">
        <v>131241.6874631643</v>
      </c>
      <c r="D43" s="6">
        <v>235814.85308199999</v>
      </c>
      <c r="E43" s="9">
        <v>55.654546669936678</v>
      </c>
      <c r="F43">
        <v>412</v>
      </c>
      <c r="G43" s="14">
        <f t="shared" si="0"/>
        <v>1.7471333744051105E-3</v>
      </c>
      <c r="H43" t="s">
        <v>18</v>
      </c>
    </row>
    <row r="44" spans="1:8" x14ac:dyDescent="0.3">
      <c r="A44" s="3" t="s">
        <v>16</v>
      </c>
      <c r="B44" s="3">
        <v>2018</v>
      </c>
      <c r="C44" s="6">
        <v>40166.650496270013</v>
      </c>
      <c r="D44" s="4">
        <v>0</v>
      </c>
      <c r="E44" s="11">
        <v>0</v>
      </c>
      <c r="F44">
        <v>0</v>
      </c>
      <c r="G44" s="14">
        <v>0</v>
      </c>
      <c r="H44" t="s">
        <v>18</v>
      </c>
    </row>
    <row r="45" spans="1:8" x14ac:dyDescent="0.3">
      <c r="A45" s="3" t="s">
        <v>5</v>
      </c>
      <c r="B45" s="3">
        <v>2018</v>
      </c>
      <c r="C45" s="6">
        <v>7455651.6780635277</v>
      </c>
      <c r="D45" s="6">
        <v>80115006.511019006</v>
      </c>
      <c r="E45" s="9">
        <v>9.3061861975110478</v>
      </c>
      <c r="F45">
        <v>7117</v>
      </c>
      <c r="G45" s="14">
        <f t="shared" si="0"/>
        <v>8.8834792755351378E-5</v>
      </c>
      <c r="H45" t="s">
        <v>18</v>
      </c>
    </row>
    <row r="46" spans="1:8" x14ac:dyDescent="0.3">
      <c r="A46" s="3" t="s">
        <v>17</v>
      </c>
      <c r="B46" s="3">
        <v>2018</v>
      </c>
      <c r="C46" s="6">
        <v>33505470.264308341</v>
      </c>
      <c r="D46" s="6">
        <v>134779162.69051</v>
      </c>
      <c r="E46" s="9">
        <v>24.859532879905263</v>
      </c>
      <c r="F46">
        <v>-8589</v>
      </c>
      <c r="G46" s="14">
        <f t="shared" si="0"/>
        <v>-6.3726468012883445E-5</v>
      </c>
      <c r="H46" t="s">
        <v>18</v>
      </c>
    </row>
    <row r="47" spans="1:8" x14ac:dyDescent="0.3">
      <c r="A47" s="3" t="s">
        <v>7</v>
      </c>
      <c r="B47" s="3">
        <v>2018</v>
      </c>
      <c r="C47" s="6">
        <v>15014650.133287959</v>
      </c>
      <c r="D47" s="6">
        <v>172974215.256347</v>
      </c>
      <c r="E47" s="9">
        <v>8.6802822669473105</v>
      </c>
      <c r="F47">
        <v>413219</v>
      </c>
      <c r="G47" s="14">
        <f t="shared" si="0"/>
        <v>2.3889051867505878E-3</v>
      </c>
      <c r="H47" t="s">
        <v>18</v>
      </c>
    </row>
    <row r="48" spans="1:8" x14ac:dyDescent="0.3">
      <c r="A48" s="3" t="s">
        <v>4</v>
      </c>
      <c r="B48" s="3">
        <v>2018</v>
      </c>
      <c r="C48" s="6">
        <v>29656514.367615871</v>
      </c>
      <c r="D48" s="6">
        <v>98432191.357677996</v>
      </c>
      <c r="E48" s="9">
        <v>30.128877513100878</v>
      </c>
      <c r="F48">
        <v>67632</v>
      </c>
      <c r="G48" s="14">
        <f t="shared" si="0"/>
        <v>6.8709229234003547E-4</v>
      </c>
      <c r="H48" t="s">
        <v>18</v>
      </c>
    </row>
    <row r="49" spans="1:8" x14ac:dyDescent="0.3">
      <c r="A49" s="3" t="s">
        <v>6</v>
      </c>
      <c r="B49" s="3">
        <v>2018</v>
      </c>
      <c r="C49" s="6">
        <v>2896817.080246232</v>
      </c>
      <c r="D49" s="6">
        <v>6840139.3646280002</v>
      </c>
      <c r="E49" s="9">
        <v>42.350264019858528</v>
      </c>
      <c r="F49">
        <v>2490</v>
      </c>
      <c r="G49" s="14">
        <f t="shared" si="0"/>
        <v>3.640276706753062E-4</v>
      </c>
      <c r="H49" t="s">
        <v>18</v>
      </c>
    </row>
    <row r="50" spans="1:8" x14ac:dyDescent="0.3">
      <c r="A50" s="3" t="s">
        <v>2</v>
      </c>
      <c r="B50" s="3">
        <v>2018</v>
      </c>
      <c r="C50" s="6">
        <v>3981165.3986707199</v>
      </c>
      <c r="D50" s="6">
        <v>22744373.104049999</v>
      </c>
      <c r="E50" s="9">
        <v>17.503957486354327</v>
      </c>
      <c r="F50">
        <v>64374</v>
      </c>
      <c r="G50" s="14">
        <f t="shared" si="0"/>
        <v>2.830326415483273E-3</v>
      </c>
      <c r="H50" t="s">
        <v>18</v>
      </c>
    </row>
    <row r="51" spans="1:8" x14ac:dyDescent="0.3">
      <c r="A51" s="3" t="s">
        <v>3</v>
      </c>
      <c r="B51" s="3">
        <v>2018</v>
      </c>
      <c r="C51" s="6">
        <v>59100226.186440751</v>
      </c>
      <c r="D51" s="6">
        <v>252701298.390847</v>
      </c>
      <c r="E51" s="9">
        <v>23.387385250008432</v>
      </c>
      <c r="F51">
        <v>322458</v>
      </c>
      <c r="G51" s="14">
        <f t="shared" si="0"/>
        <v>1.2760440965414511E-3</v>
      </c>
      <c r="H51" t="s">
        <v>18</v>
      </c>
    </row>
    <row r="52" spans="1:8" x14ac:dyDescent="0.3">
      <c r="A52" s="3" t="s">
        <v>15</v>
      </c>
      <c r="B52" s="3">
        <v>2020</v>
      </c>
      <c r="C52" s="6">
        <v>131721.16888663999</v>
      </c>
      <c r="D52" s="6">
        <v>235814.8530815978</v>
      </c>
      <c r="E52" s="9">
        <v>55.857875823974609</v>
      </c>
      <c r="F52">
        <v>479</v>
      </c>
      <c r="G52" s="14">
        <f t="shared" si="0"/>
        <v>2.0312545784987261E-3</v>
      </c>
      <c r="H52" t="s">
        <v>18</v>
      </c>
    </row>
    <row r="53" spans="1:8" x14ac:dyDescent="0.3">
      <c r="A53" s="3" t="s">
        <v>16</v>
      </c>
      <c r="B53" s="3">
        <v>2020</v>
      </c>
      <c r="C53" s="6">
        <v>40166.65086094274</v>
      </c>
      <c r="D53" s="12">
        <v>0</v>
      </c>
      <c r="E53" s="9">
        <v>0</v>
      </c>
      <c r="F53">
        <v>0</v>
      </c>
      <c r="G53" s="14">
        <v>0</v>
      </c>
      <c r="H53" t="s">
        <v>18</v>
      </c>
    </row>
    <row r="54" spans="1:8" x14ac:dyDescent="0.3">
      <c r="A54" s="3" t="s">
        <v>5</v>
      </c>
      <c r="B54" s="3">
        <v>2020</v>
      </c>
      <c r="C54" s="6">
        <v>7696641.3072267342</v>
      </c>
      <c r="D54" s="6">
        <v>80115006.5110192</v>
      </c>
      <c r="E54" s="9">
        <v>9.6069908142089844</v>
      </c>
      <c r="F54">
        <v>240990</v>
      </c>
      <c r="G54" s="14">
        <f t="shared" si="0"/>
        <v>3.0080506823257098E-3</v>
      </c>
      <c r="H54" t="s">
        <v>18</v>
      </c>
    </row>
    <row r="55" spans="1:8" x14ac:dyDescent="0.3">
      <c r="A55" s="3" t="s">
        <v>17</v>
      </c>
      <c r="B55" s="3">
        <v>2020</v>
      </c>
      <c r="C55" s="6">
        <v>33505136.09457567</v>
      </c>
      <c r="D55" s="6">
        <v>134779162.69050989</v>
      </c>
      <c r="E55" s="9">
        <v>24.859285354614261</v>
      </c>
      <c r="F55">
        <v>-334</v>
      </c>
      <c r="G55" s="14">
        <f t="shared" si="0"/>
        <v>-2.4781278747587718E-6</v>
      </c>
      <c r="H55" t="s">
        <v>18</v>
      </c>
    </row>
    <row r="56" spans="1:8" x14ac:dyDescent="0.3">
      <c r="A56" s="3" t="s">
        <v>7</v>
      </c>
      <c r="B56" s="3">
        <v>2020</v>
      </c>
      <c r="C56" s="6">
        <v>15070241.915312709</v>
      </c>
      <c r="D56" s="6">
        <v>172974215.2563473</v>
      </c>
      <c r="E56" s="9">
        <v>8.7124214172363281</v>
      </c>
      <c r="F56">
        <v>55592</v>
      </c>
      <c r="G56" s="14">
        <f t="shared" si="0"/>
        <v>3.2138894180044588E-4</v>
      </c>
      <c r="H56" t="s">
        <v>18</v>
      </c>
    </row>
    <row r="57" spans="1:8" x14ac:dyDescent="0.3">
      <c r="A57" s="3" t="s">
        <v>4</v>
      </c>
      <c r="B57" s="3">
        <v>2020</v>
      </c>
      <c r="C57" s="6">
        <v>29654593.76611273</v>
      </c>
      <c r="D57" s="6">
        <v>98432191.357677758</v>
      </c>
      <c r="E57" s="9">
        <v>30.126926422119141</v>
      </c>
      <c r="F57">
        <v>-1921</v>
      </c>
      <c r="G57" s="14">
        <f t="shared" si="0"/>
        <v>-1.9515973113100474E-5</v>
      </c>
      <c r="H57" t="s">
        <v>18</v>
      </c>
    </row>
    <row r="58" spans="1:8" x14ac:dyDescent="0.3">
      <c r="A58" s="3" t="s">
        <v>6</v>
      </c>
      <c r="B58" s="3">
        <v>2020</v>
      </c>
      <c r="C58" s="6">
        <v>2893241.4976693718</v>
      </c>
      <c r="D58" s="6">
        <v>6840139.3646279294</v>
      </c>
      <c r="E58" s="9">
        <v>42.297988891601563</v>
      </c>
      <c r="F58">
        <v>-3576</v>
      </c>
      <c r="G58" s="14">
        <f t="shared" si="0"/>
        <v>-5.2279636559634884E-4</v>
      </c>
      <c r="H58" t="s">
        <v>18</v>
      </c>
    </row>
    <row r="59" spans="1:8" x14ac:dyDescent="0.3">
      <c r="A59" s="3" t="s">
        <v>2</v>
      </c>
      <c r="B59" s="3">
        <v>2020</v>
      </c>
      <c r="C59" s="6">
        <v>3996874.411486336</v>
      </c>
      <c r="D59" s="6">
        <v>22744373.104050372</v>
      </c>
      <c r="E59" s="9">
        <v>17.573024749755859</v>
      </c>
      <c r="F59">
        <v>15709</v>
      </c>
      <c r="G59" s="14">
        <f t="shared" si="0"/>
        <v>6.9067632368387873E-4</v>
      </c>
      <c r="H59" t="s">
        <v>18</v>
      </c>
    </row>
    <row r="60" spans="1:8" x14ac:dyDescent="0.3">
      <c r="A60" s="3" t="s">
        <v>3</v>
      </c>
      <c r="B60" s="3">
        <v>2020</v>
      </c>
      <c r="C60" s="6">
        <v>58887254.933013387</v>
      </c>
      <c r="D60" s="6">
        <v>252701298.390847</v>
      </c>
      <c r="E60" s="9">
        <v>23.303108215332031</v>
      </c>
      <c r="F60">
        <v>-212971</v>
      </c>
      <c r="G60" s="14">
        <f t="shared" si="0"/>
        <v>-8.4277762463492729E-4</v>
      </c>
      <c r="H60" t="s">
        <v>18</v>
      </c>
    </row>
    <row r="61" spans="1:8" x14ac:dyDescent="0.3">
      <c r="A61" s="3" t="s">
        <v>15</v>
      </c>
      <c r="B61" s="3">
        <v>2022</v>
      </c>
      <c r="C61" s="6">
        <v>131903.6442161171</v>
      </c>
      <c r="D61" s="6">
        <v>235814.853081598</v>
      </c>
      <c r="E61" s="9">
        <v>55.935256958007813</v>
      </c>
      <c r="F61">
        <v>182</v>
      </c>
      <c r="G61" s="14">
        <f t="shared" si="0"/>
        <v>7.7179192752978678E-4</v>
      </c>
      <c r="H61" t="s">
        <v>18</v>
      </c>
    </row>
    <row r="62" spans="1:8" x14ac:dyDescent="0.3">
      <c r="A62" s="3" t="s">
        <v>16</v>
      </c>
      <c r="B62" s="3">
        <v>2022</v>
      </c>
      <c r="C62" s="6">
        <v>50312.781749716203</v>
      </c>
      <c r="D62" s="12">
        <v>0</v>
      </c>
      <c r="E62" s="9">
        <v>0</v>
      </c>
      <c r="F62">
        <v>10146</v>
      </c>
      <c r="G62" s="14">
        <v>0</v>
      </c>
      <c r="H62" t="s">
        <v>18</v>
      </c>
    </row>
    <row r="63" spans="1:8" x14ac:dyDescent="0.3">
      <c r="A63" s="3" t="s">
        <v>5</v>
      </c>
      <c r="B63" s="3">
        <v>2022</v>
      </c>
      <c r="C63" s="6">
        <v>8169917.7589619756</v>
      </c>
      <c r="D63" s="6">
        <v>80115006.5110192</v>
      </c>
      <c r="E63" s="9">
        <v>10.197736740112299</v>
      </c>
      <c r="F63">
        <v>473276</v>
      </c>
      <c r="G63" s="14">
        <f t="shared" si="0"/>
        <v>5.9074575489787241E-3</v>
      </c>
      <c r="H63" t="s">
        <v>18</v>
      </c>
    </row>
    <row r="64" spans="1:8" x14ac:dyDescent="0.3">
      <c r="A64" s="3" t="s">
        <v>17</v>
      </c>
      <c r="B64" s="3">
        <v>2022</v>
      </c>
      <c r="C64" s="6">
        <v>33536324.718383789</v>
      </c>
      <c r="D64" s="6">
        <v>134779162.69051</v>
      </c>
      <c r="E64" s="9">
        <v>24.882425308227539</v>
      </c>
      <c r="F64">
        <v>31189</v>
      </c>
      <c r="G64" s="14">
        <f t="shared" si="0"/>
        <v>2.3140817450853672E-4</v>
      </c>
      <c r="H64" t="s">
        <v>18</v>
      </c>
    </row>
    <row r="65" spans="1:8" x14ac:dyDescent="0.3">
      <c r="A65" s="3" t="s">
        <v>7</v>
      </c>
      <c r="B65" s="3">
        <v>2022</v>
      </c>
      <c r="C65" s="6">
        <v>15275845.926349919</v>
      </c>
      <c r="D65" s="6">
        <v>172974215.256347</v>
      </c>
      <c r="E65" s="9">
        <v>8.8312854766845703</v>
      </c>
      <c r="F65">
        <v>205604</v>
      </c>
      <c r="G65" s="14">
        <f t="shared" si="0"/>
        <v>1.1886395882490105E-3</v>
      </c>
      <c r="H65" t="s">
        <v>18</v>
      </c>
    </row>
    <row r="66" spans="1:8" x14ac:dyDescent="0.3">
      <c r="A66" s="3" t="s">
        <v>4</v>
      </c>
      <c r="B66" s="3">
        <v>2022</v>
      </c>
      <c r="C66" s="6">
        <v>29721867.018480971</v>
      </c>
      <c r="D66" s="6">
        <v>98432191.357677802</v>
      </c>
      <c r="E66" s="9">
        <v>30.195270538330082</v>
      </c>
      <c r="F66">
        <v>67273</v>
      </c>
      <c r="G66" s="14">
        <f t="shared" si="0"/>
        <v>6.8344511152400192E-4</v>
      </c>
      <c r="H66" t="s">
        <v>18</v>
      </c>
    </row>
    <row r="67" spans="1:8" x14ac:dyDescent="0.3">
      <c r="A67" s="3" t="s">
        <v>6</v>
      </c>
      <c r="B67" s="3">
        <v>2022</v>
      </c>
      <c r="C67" s="6">
        <v>2893895.3265060331</v>
      </c>
      <c r="D67" s="6">
        <v>6840139.3646279303</v>
      </c>
      <c r="E67" s="9">
        <v>42.307548522949219</v>
      </c>
      <c r="F67">
        <v>654</v>
      </c>
      <c r="G67" s="14">
        <f t="shared" ref="G67:G78" si="1">F67/D67</f>
        <v>9.5612086996647671E-5</v>
      </c>
      <c r="H67" t="s">
        <v>18</v>
      </c>
    </row>
    <row r="68" spans="1:8" x14ac:dyDescent="0.3">
      <c r="A68" s="3" t="s">
        <v>2</v>
      </c>
      <c r="B68" s="3">
        <v>2022</v>
      </c>
      <c r="C68" s="6">
        <v>4012887.776085055</v>
      </c>
      <c r="D68" s="6">
        <v>22744373.104050402</v>
      </c>
      <c r="E68" s="9">
        <v>17.643430709838871</v>
      </c>
      <c r="F68">
        <v>16013</v>
      </c>
      <c r="G68" s="14">
        <f t="shared" si="1"/>
        <v>7.0404226692659844E-4</v>
      </c>
      <c r="H68" t="s">
        <v>18</v>
      </c>
    </row>
    <row r="69" spans="1:8" x14ac:dyDescent="0.3">
      <c r="A69" s="3" t="s">
        <v>3</v>
      </c>
      <c r="B69" s="3">
        <v>2022</v>
      </c>
      <c r="C69" s="6">
        <v>76142709.836652502</v>
      </c>
      <c r="D69" s="6">
        <v>252701298.390847</v>
      </c>
      <c r="E69" s="9">
        <v>30.13150787353516</v>
      </c>
      <c r="F69">
        <v>17255455</v>
      </c>
      <c r="G69" s="14">
        <f t="shared" si="1"/>
        <v>6.8283998182357586E-2</v>
      </c>
      <c r="H69" t="s">
        <v>18</v>
      </c>
    </row>
    <row r="70" spans="1:8" x14ac:dyDescent="0.3">
      <c r="A70" s="3" t="s">
        <v>15</v>
      </c>
      <c r="B70" s="3">
        <v>2024</v>
      </c>
      <c r="C70" s="6">
        <v>131902</v>
      </c>
      <c r="D70" s="6">
        <v>235814.853081598</v>
      </c>
      <c r="E70" s="13">
        <v>55.934715792538356</v>
      </c>
      <c r="F70">
        <v>-2</v>
      </c>
      <c r="G70" s="14">
        <f t="shared" si="1"/>
        <v>-8.4812299728547995E-6</v>
      </c>
      <c r="H70" t="s">
        <v>18</v>
      </c>
    </row>
    <row r="71" spans="1:8" x14ac:dyDescent="0.3">
      <c r="A71" s="3" t="s">
        <v>16</v>
      </c>
      <c r="B71" s="3">
        <v>2024</v>
      </c>
      <c r="C71" s="6">
        <v>9681</v>
      </c>
      <c r="D71" s="12">
        <v>0</v>
      </c>
      <c r="E71" s="13">
        <v>0</v>
      </c>
      <c r="F71">
        <v>-40632</v>
      </c>
      <c r="G71" s="14">
        <v>0</v>
      </c>
      <c r="H71" t="s">
        <v>18</v>
      </c>
    </row>
    <row r="72" spans="1:8" x14ac:dyDescent="0.3">
      <c r="A72" s="3" t="s">
        <v>5</v>
      </c>
      <c r="B72" s="3">
        <v>2024</v>
      </c>
      <c r="C72" s="3">
        <v>8365055.8196557136</v>
      </c>
      <c r="D72" s="6">
        <v>80115006.5110192</v>
      </c>
      <c r="E72" s="13">
        <v>10.441309542307987</v>
      </c>
      <c r="F72">
        <v>195138</v>
      </c>
      <c r="G72" s="14">
        <f t="shared" si="1"/>
        <v>2.4357234493035994E-3</v>
      </c>
      <c r="H72" t="s">
        <v>18</v>
      </c>
    </row>
    <row r="73" spans="1:8" x14ac:dyDescent="0.3">
      <c r="A73" s="3" t="s">
        <v>17</v>
      </c>
      <c r="B73" s="3">
        <v>2024</v>
      </c>
      <c r="C73" s="3">
        <v>33208737.997514822</v>
      </c>
      <c r="D73" s="6">
        <v>134779162.69051</v>
      </c>
      <c r="E73" s="13">
        <v>24.639371053054575</v>
      </c>
      <c r="F73">
        <v>-327587</v>
      </c>
      <c r="G73" s="14">
        <f t="shared" si="1"/>
        <v>-2.4305463356544942E-3</v>
      </c>
      <c r="H73" t="s">
        <v>18</v>
      </c>
    </row>
    <row r="74" spans="1:8" x14ac:dyDescent="0.3">
      <c r="A74" s="3" t="s">
        <v>7</v>
      </c>
      <c r="B74" s="3">
        <v>2024</v>
      </c>
      <c r="C74" s="3">
        <v>16183152.68197991</v>
      </c>
      <c r="D74" s="6">
        <v>172974215.256347</v>
      </c>
      <c r="E74" s="13">
        <v>9.3558179512458111</v>
      </c>
      <c r="F74">
        <v>907307</v>
      </c>
      <c r="G74" s="14">
        <f t="shared" si="1"/>
        <v>5.2453309220416187E-3</v>
      </c>
      <c r="H74" t="s">
        <v>18</v>
      </c>
    </row>
    <row r="75" spans="1:8" x14ac:dyDescent="0.3">
      <c r="A75" s="3" t="s">
        <v>4</v>
      </c>
      <c r="B75" s="3">
        <v>2024</v>
      </c>
      <c r="C75" s="3">
        <v>29963518.484946579</v>
      </c>
      <c r="D75" s="6">
        <v>98432191.357677802</v>
      </c>
      <c r="E75" s="13">
        <v>30.440771531811894</v>
      </c>
      <c r="F75">
        <v>241651</v>
      </c>
      <c r="G75" s="14">
        <f t="shared" si="1"/>
        <v>2.4549996974252163E-3</v>
      </c>
      <c r="H75" t="s">
        <v>18</v>
      </c>
    </row>
    <row r="76" spans="1:8" x14ac:dyDescent="0.3">
      <c r="A76" s="3" t="s">
        <v>6</v>
      </c>
      <c r="B76" s="3">
        <v>2024</v>
      </c>
      <c r="C76" s="3">
        <v>2928054.7752682031</v>
      </c>
      <c r="D76" s="6">
        <v>6840139.3646279303</v>
      </c>
      <c r="E76" s="13">
        <v>42.806946162674791</v>
      </c>
      <c r="F76">
        <v>34159</v>
      </c>
      <c r="G76" s="14">
        <f t="shared" si="1"/>
        <v>4.9939040974288805E-3</v>
      </c>
      <c r="H76" t="s">
        <v>18</v>
      </c>
    </row>
    <row r="77" spans="1:8" x14ac:dyDescent="0.3">
      <c r="A77" s="3" t="s">
        <v>2</v>
      </c>
      <c r="B77" s="3">
        <v>2024</v>
      </c>
      <c r="C77" s="3">
        <v>4023548.4218729199</v>
      </c>
      <c r="D77" s="6">
        <v>22744373.104050402</v>
      </c>
      <c r="E77" s="13">
        <v>17.690302579306515</v>
      </c>
      <c r="F77">
        <v>10661</v>
      </c>
      <c r="G77" s="14">
        <f t="shared" si="1"/>
        <v>4.687313187850163E-4</v>
      </c>
      <c r="H77" t="s">
        <v>18</v>
      </c>
    </row>
    <row r="78" spans="1:8" x14ac:dyDescent="0.3">
      <c r="A78" s="3" t="s">
        <v>3</v>
      </c>
      <c r="B78" s="3">
        <v>2024</v>
      </c>
      <c r="C78" s="3">
        <v>78674218.901455879</v>
      </c>
      <c r="D78" s="6">
        <v>252701298.390847</v>
      </c>
      <c r="E78" s="13">
        <v>31.133286375035702</v>
      </c>
      <c r="F78">
        <v>2531509</v>
      </c>
      <c r="G78" s="14">
        <f t="shared" si="1"/>
        <v>1.0017791820303892E-2</v>
      </c>
      <c r="H78" t="s">
        <v>18</v>
      </c>
    </row>
    <row r="79" spans="1:8" x14ac:dyDescent="0.3">
      <c r="A79" s="3"/>
    </row>
    <row r="80" spans="1:8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</sheetData>
  <autoFilter ref="A1:C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2026-10-24T13:01:45Z</dcterms:modified>
</cp:coreProperties>
</file>