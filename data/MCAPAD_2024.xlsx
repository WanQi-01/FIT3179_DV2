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923B8469-8A4B-4737-BB1F-7503CB16528C}" xr6:coauthVersionLast="47" xr6:coauthVersionMax="47" xr10:uidLastSave="{00000000-0000-0000-0000-000000000000}"/>
  <bookViews>
    <workbookView xWindow="11424" yWindow="0" windowWidth="11712" windowHeight="12336" xr2:uid="{F2DAC25B-A157-410E-ACAF-3222B7824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E2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<sst xmlns="http://schemas.openxmlformats.org/spreadsheetml/2006/main" count="20" uniqueCount="20">
  <si>
    <t>VI</t>
  </si>
  <si>
    <t>V</t>
  </si>
  <si>
    <t>IV</t>
  </si>
  <si>
    <t>III</t>
  </si>
  <si>
    <t>II</t>
  </si>
  <si>
    <t>Ib</t>
  </si>
  <si>
    <t>Ia</t>
  </si>
  <si>
    <t>Protected Area per 100,000 ha</t>
  </si>
  <si>
    <t>Protected Area</t>
  </si>
  <si>
    <t>IUCN Category</t>
  </si>
  <si>
    <t>Year</t>
  </si>
  <si>
    <t>Ia Strict Nature Reserve</t>
  </si>
  <si>
    <t>Ib Wilderness Area</t>
  </si>
  <si>
    <t>II National Park</t>
  </si>
  <si>
    <t>III Natural Monument</t>
  </si>
  <si>
    <t>IV Habitat/ Species Management Area</t>
  </si>
  <si>
    <t>V Protected Landscape/ Seascape</t>
  </si>
  <si>
    <t>VI Managed Resource Protected Area</t>
  </si>
  <si>
    <t>IUCN FULL</t>
  </si>
  <si>
    <t>Percentage of protected area per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</si>
</sst>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0" applyNumberFormat="1"/>
    <xf numFmtId="164" fontId="0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78DB-9A6C-4E55-BC4A-83E168E55E25}">
  <dimension ref="A1:F8"/>
  <sheetViews>
    <sheetView tabSelected="1" topLeftCell="C1" workbookViewId="0">
      <selection activeCell="F8" sqref="F8"/>
    </sheetView>
  </sheetViews>
  <sheetFormatPr defaultRowHeight="14.4" x14ac:dyDescent="0.3"/>
  <cols>
    <col min="2" max="2" width="14.44140625" customWidth="1"/>
    <col min="3" max="3" width="29.5546875" customWidth="1"/>
    <col min="4" max="4" width="19.88671875" customWidth="1"/>
    <col min="5" max="5" width="26.44140625" customWidth="1"/>
    <col min="6" max="6" width="34.44140625" customWidth="1"/>
  </cols>
  <sheetData>
    <row r="1" spans="1:6" x14ac:dyDescent="0.3">
      <c r="A1" t="s">
        <v>10</v>
      </c>
      <c r="B1" t="s">
        <v>9</v>
      </c>
      <c r="C1" t="s">
        <v>18</v>
      </c>
      <c r="D1" t="s">
        <v>8</v>
      </c>
      <c r="E1" t="s">
        <v>7</v>
      </c>
      <c r="F1" t="s">
        <v>19</v>
      </c>
    </row>
    <row r="2" spans="1:6" x14ac:dyDescent="0.3">
      <c r="A2">
        <v>2024</v>
      </c>
      <c r="B2" t="s">
        <v>6</v>
      </c>
      <c r="C2" t="s">
        <v>11</v>
      </c>
      <c r="D2" s="2">
        <v>13609350.938815</v>
      </c>
      <c r="E2" s="1">
        <f t="shared" ref="E2" si="0">D2/100000</f>
        <v>136.09350938814998</v>
      </c>
      <c r="F2" s="1">
        <f>D2/894071061.4*100</f>
        <v>1.5221777693491736</v>
      </c>
    </row>
    <row r="3" spans="1:6" x14ac:dyDescent="0.3">
      <c r="A3">
        <v>2024</v>
      </c>
      <c r="B3" t="s">
        <v>5</v>
      </c>
      <c r="C3" t="s">
        <v>12</v>
      </c>
      <c r="D3">
        <v>0</v>
      </c>
      <c r="E3">
        <v>0</v>
      </c>
      <c r="F3" s="1">
        <f t="shared" ref="F3:F8" si="1">D3/894071061.4*100</f>
        <v>0</v>
      </c>
    </row>
    <row r="4" spans="1:6" x14ac:dyDescent="0.3">
      <c r="A4">
        <v>2024</v>
      </c>
      <c r="B4" t="s">
        <v>4</v>
      </c>
      <c r="C4" t="s">
        <v>13</v>
      </c>
      <c r="D4" s="2">
        <v>181454915.08863801</v>
      </c>
      <c r="E4" s="1">
        <f>D4/100000</f>
        <v>1814.5491508863802</v>
      </c>
      <c r="F4" s="1">
        <f t="shared" si="1"/>
        <v>20.295357150303357</v>
      </c>
    </row>
    <row r="5" spans="1:6" x14ac:dyDescent="0.3">
      <c r="A5">
        <v>2024</v>
      </c>
      <c r="B5" t="s">
        <v>3</v>
      </c>
      <c r="C5" t="s">
        <v>14</v>
      </c>
      <c r="D5" s="2">
        <v>62794.971096000001</v>
      </c>
      <c r="E5" s="1">
        <f>D5/100000</f>
        <v>0.62794971095999996</v>
      </c>
      <c r="F5" s="1">
        <f t="shared" si="1"/>
        <v>7.0234877077523543E-3</v>
      </c>
    </row>
    <row r="6" spans="1:6" x14ac:dyDescent="0.3">
      <c r="A6">
        <v>2024</v>
      </c>
      <c r="B6" t="s">
        <v>2</v>
      </c>
      <c r="C6" t="s">
        <v>15</v>
      </c>
      <c r="D6" s="2">
        <v>122785432.82216901</v>
      </c>
      <c r="E6" s="1">
        <f>D6/100000</f>
        <v>1227.8543282216901</v>
      </c>
      <c r="F6" s="1">
        <f t="shared" si="1"/>
        <v>13.73329683995172</v>
      </c>
    </row>
    <row r="7" spans="1:6" x14ac:dyDescent="0.3">
      <c r="A7">
        <v>2024</v>
      </c>
      <c r="B7" t="s">
        <v>1</v>
      </c>
      <c r="C7" t="s">
        <v>16</v>
      </c>
      <c r="D7" s="2">
        <v>3174436.2482790002</v>
      </c>
      <c r="E7" s="1">
        <f>D7/100000</f>
        <v>31.744362482790002</v>
      </c>
      <c r="F7" s="1">
        <f t="shared" si="1"/>
        <v>0.35505413219708087</v>
      </c>
    </row>
    <row r="8" spans="1:6" x14ac:dyDescent="0.3">
      <c r="A8">
        <v>2024</v>
      </c>
      <c r="B8" t="s">
        <v>0</v>
      </c>
      <c r="C8" t="s">
        <v>17</v>
      </c>
      <c r="D8" s="2">
        <v>116113636.93415099</v>
      </c>
      <c r="E8" s="1">
        <f>D8/100000</f>
        <v>1161.1363693415099</v>
      </c>
      <c r="F8" s="1">
        <f t="shared" si="1"/>
        <v>12.987070261767785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2026-10-14T14:56:35Z</dcterms:created>
  <dcterms:modified xsi:type="dcterms:W3CDTF">2026-10-14T16:40:04Z</dcterms:modified>
</cp:coreProperties>
</file>